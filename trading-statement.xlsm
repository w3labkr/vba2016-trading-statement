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Applications/mampstack-7.1.1-0/apache2/htdocs/git/urwebs-excel/trading-statement/"/>
    </mc:Choice>
  </mc:AlternateContent>
  <xr:revisionPtr revIDLastSave="0" documentId="13_ncr:1_{A3E8D710-5B6C-6142-86B0-C9C644CCF1E7}" xr6:coauthVersionLast="36" xr6:coauthVersionMax="36" xr10:uidLastSave="{00000000-0000-0000-0000-000000000000}"/>
  <bookViews>
    <workbookView xWindow="0" yWindow="460" windowWidth="33600" windowHeight="19140" xr2:uid="{00000000-000D-0000-FFFF-FFFF00000000}"/>
  </bookViews>
  <sheets>
    <sheet name="거래명세서" sheetId="2" r:id="rId1"/>
    <sheet name="회사별" sheetId="10" r:id="rId2"/>
    <sheet name="제품별" sheetId="11" r:id="rId3"/>
    <sheet name="분기별" sheetId="12" r:id="rId4"/>
    <sheet name="월별" sheetId="13" r:id="rId5"/>
    <sheet name="규격" sheetId="9" r:id="rId6"/>
    <sheet name="거래처" sheetId="1" r:id="rId7"/>
    <sheet name="데이터" sheetId="5" r:id="rId8"/>
    <sheet name="상세데이터" sheetId="15" r:id="rId9"/>
    <sheet name="버전" sheetId="16" r:id="rId10"/>
  </sheets>
  <definedNames>
    <definedName name="거래명세서번호" localSheetId="8">OFFSET(상세데이터!#REF!,1,,COUNTA(상세데이터!$A:$A)-COUNTA(상세데이터!#REF!))</definedName>
    <definedName name="거래명세서번호">OFFSET(데이터!$A$1,1,,COUNTA(데이터!$A:$A)-COUNTA(데이터!$A$1))</definedName>
    <definedName name="거래처상호">OFFSET(거래처!$A$1,1,,COUNTA(거래처!$A:$A)-COUNTA(거래처!$A$1))</definedName>
    <definedName name="일련번호" localSheetId="8">OFFSET(상세데이터!#REF!,1,,COUNTA(상세데이터!#REF!)-COUNTA(상세데이터!#REF!))</definedName>
    <definedName name="품목">OFFSET(규격!$A$1,1,,COUNTA(규격!$A:$A)-COUNTA(규격!$A$1))</definedName>
    <definedName name="항목">OFFSET(항목열,1,,COUNTA(항목열)-1)</definedName>
    <definedName name="항목열">OFFSET(규격!$A:$A,,MATCH(거래명세서!$C1, 규격!$1:$1,0)-1)</definedName>
    <definedName name="_xlnm.Print_Area" localSheetId="0">거래명세서!$A$1:$R$58</definedName>
  </definedNames>
  <calcPr calcId="181029"/>
  <pivotCaches>
    <pivotCache cacheId="1" r:id="rId11"/>
  </pivotCaches>
</workbook>
</file>

<file path=xl/calcChain.xml><?xml version="1.0" encoding="utf-8"?>
<calcChain xmlns="http://schemas.openxmlformats.org/spreadsheetml/2006/main">
  <c r="M21" i="2" l="1"/>
  <c r="N21" i="2" s="1"/>
  <c r="B21" i="2"/>
  <c r="M20" i="2"/>
  <c r="N20" i="2" s="1"/>
  <c r="B20" i="2"/>
  <c r="M19" i="2"/>
  <c r="N19" i="2" s="1"/>
  <c r="B19" i="2"/>
  <c r="M18" i="2"/>
  <c r="N18" i="2" s="1"/>
  <c r="B18" i="2"/>
  <c r="M17" i="2"/>
  <c r="N17" i="2" s="1"/>
  <c r="B17" i="2"/>
  <c r="N16" i="2"/>
  <c r="M16" i="2"/>
  <c r="B16" i="2"/>
  <c r="M15" i="2"/>
  <c r="N15" i="2" s="1"/>
  <c r="B15" i="2"/>
  <c r="M14" i="2"/>
  <c r="N14" i="2" s="1"/>
  <c r="B14" i="2"/>
  <c r="M13" i="2"/>
  <c r="N13" i="2" s="1"/>
  <c r="B13" i="2"/>
  <c r="M12" i="2"/>
  <c r="N12" i="2" s="1"/>
  <c r="AE6" i="2" s="1"/>
  <c r="B12" i="2"/>
  <c r="Q10" i="2"/>
  <c r="M10" i="2"/>
  <c r="Q9" i="2"/>
  <c r="M9" i="2"/>
  <c r="M8" i="2"/>
  <c r="Q7" i="2"/>
  <c r="M6" i="2"/>
  <c r="Q5" i="2"/>
  <c r="AE5" i="2"/>
  <c r="AE4" i="2"/>
  <c r="AB3" i="2" l="1"/>
  <c r="AA12" i="2"/>
  <c r="Q39" i="2" l="1"/>
  <c r="AB5" i="2"/>
  <c r="AB6" i="2"/>
  <c r="AB4" i="2"/>
  <c r="Q37" i="2"/>
  <c r="Q40" i="2"/>
  <c r="M31" i="2" l="1"/>
  <c r="N31" i="2" s="1"/>
  <c r="AA21" i="2"/>
  <c r="AA13" i="2"/>
  <c r="AA14" i="2"/>
  <c r="AA15" i="2"/>
  <c r="AA16" i="2"/>
  <c r="AA17" i="2"/>
  <c r="AA18" i="2"/>
  <c r="AA19" i="2"/>
  <c r="AA20" i="2"/>
  <c r="D35" i="2" l="1"/>
  <c r="AA22" i="2" l="1"/>
  <c r="J52" i="2"/>
  <c r="B35" i="2"/>
  <c r="O35" i="2"/>
  <c r="D36" i="2"/>
  <c r="D38" i="2"/>
  <c r="H37" i="2"/>
  <c r="H39" i="2"/>
  <c r="H40" i="2"/>
  <c r="D40" i="2"/>
  <c r="D39" i="2"/>
  <c r="D37" i="2"/>
  <c r="M37" i="2"/>
  <c r="B57" i="2"/>
  <c r="O54" i="2"/>
  <c r="K54" i="2"/>
  <c r="C54" i="2"/>
  <c r="Q52" i="2"/>
  <c r="Q51" i="2"/>
  <c r="J51" i="2"/>
  <c r="I51" i="2"/>
  <c r="H51" i="2"/>
  <c r="Q50" i="2"/>
  <c r="J50" i="2"/>
  <c r="I50" i="2"/>
  <c r="H50" i="2"/>
  <c r="Q49" i="2"/>
  <c r="J49" i="2"/>
  <c r="I49" i="2"/>
  <c r="H49" i="2"/>
  <c r="Q48" i="2"/>
  <c r="J48" i="2"/>
  <c r="I48" i="2"/>
  <c r="H48" i="2"/>
  <c r="Q47" i="2"/>
  <c r="J47" i="2"/>
  <c r="I47" i="2"/>
  <c r="H47" i="2"/>
  <c r="Q46" i="2"/>
  <c r="J46" i="2"/>
  <c r="I46" i="2"/>
  <c r="H46" i="2"/>
  <c r="Q45" i="2"/>
  <c r="J45" i="2"/>
  <c r="I45" i="2"/>
  <c r="H45" i="2"/>
  <c r="Q44" i="2"/>
  <c r="J44" i="2"/>
  <c r="I44" i="2"/>
  <c r="H44" i="2"/>
  <c r="Q43" i="2"/>
  <c r="J43" i="2"/>
  <c r="I43" i="2"/>
  <c r="H43" i="2"/>
  <c r="Q42" i="2"/>
  <c r="J42" i="2"/>
  <c r="I42" i="2"/>
  <c r="H42" i="2"/>
  <c r="C43" i="2"/>
  <c r="C42" i="2"/>
  <c r="C51" i="2"/>
  <c r="C50" i="2"/>
  <c r="C49" i="2"/>
  <c r="C48" i="2"/>
  <c r="C47" i="2"/>
  <c r="C46" i="2"/>
  <c r="C45" i="2"/>
  <c r="C44" i="2"/>
  <c r="F51" i="2"/>
  <c r="F50" i="2"/>
  <c r="F49" i="2"/>
  <c r="F48" i="2"/>
  <c r="F47" i="2"/>
  <c r="F46" i="2"/>
  <c r="F45" i="2"/>
  <c r="F43" i="2"/>
  <c r="F42" i="2"/>
  <c r="F44" i="2"/>
  <c r="M40" i="2"/>
  <c r="M39" i="2"/>
  <c r="M38" i="2"/>
  <c r="M36" i="2"/>
  <c r="B44" i="2" l="1"/>
  <c r="B43" i="2"/>
  <c r="B51" i="2"/>
  <c r="B50" i="2"/>
  <c r="B49" i="2"/>
  <c r="B48" i="2"/>
  <c r="B47" i="2"/>
  <c r="B46" i="2"/>
  <c r="B45" i="2"/>
  <c r="B42" i="2"/>
  <c r="M42" i="2" l="1"/>
  <c r="M43" i="2"/>
  <c r="N51" i="2" l="1"/>
  <c r="AB21" i="2"/>
  <c r="M51" i="2"/>
  <c r="N50" i="2"/>
  <c r="M50" i="2"/>
  <c r="AB20" i="2"/>
  <c r="N49" i="2" l="1"/>
  <c r="M49" i="2"/>
  <c r="AB19" i="2"/>
  <c r="N48" i="2"/>
  <c r="M48" i="2"/>
  <c r="AB18" i="2"/>
  <c r="N47" i="2"/>
  <c r="N42" i="2"/>
  <c r="AB12" i="2"/>
  <c r="N46" i="2"/>
  <c r="M46" i="2"/>
  <c r="AB16" i="2"/>
  <c r="N45" i="2"/>
  <c r="M45" i="2"/>
  <c r="AB15" i="2"/>
  <c r="N43" i="2"/>
  <c r="AB13" i="2"/>
  <c r="M44" i="2"/>
  <c r="M47" i="2"/>
  <c r="AB17" i="2"/>
  <c r="N44" i="2"/>
  <c r="N22" i="2"/>
  <c r="N52" i="2" s="1"/>
  <c r="M22" i="2"/>
  <c r="M52" i="2" s="1"/>
  <c r="AB14" i="2"/>
  <c r="AB22" i="2" l="1"/>
  <c r="J23" i="2"/>
  <c r="J53" i="2" s="1"/>
</calcChain>
</file>

<file path=xl/sharedStrings.xml><?xml version="1.0" encoding="utf-8"?>
<sst xmlns="http://schemas.openxmlformats.org/spreadsheetml/2006/main" count="377" uniqueCount="280">
  <si>
    <t>상호</t>
  </si>
  <si>
    <t>순번</t>
  </si>
  <si>
    <t>거래처등록번호</t>
  </si>
  <si>
    <t>종사업장번호</t>
  </si>
  <si>
    <t>거래처상호</t>
  </si>
  <si>
    <t>대표자명</t>
  </si>
  <si>
    <t>사업자주소</t>
  </si>
  <si>
    <t>업태</t>
  </si>
  <si>
    <t>종목</t>
  </si>
  <si>
    <t>부서명</t>
  </si>
  <si>
    <t>성명</t>
  </si>
  <si>
    <t>전화번호</t>
  </si>
  <si>
    <t>휴대전화번호</t>
  </si>
  <si>
    <t>팩스번호</t>
  </si>
  <si>
    <t>이메일주소</t>
  </si>
  <si>
    <t>비고</t>
  </si>
  <si>
    <t>구분</t>
  </si>
  <si>
    <t>등록일자</t>
  </si>
  <si>
    <t xml:space="preserve">거래명세서 번호 : </t>
    <phoneticPr fontId="2" type="noConversion"/>
  </si>
  <si>
    <t>등록번호</t>
    <phoneticPr fontId="2" type="noConversion"/>
  </si>
  <si>
    <t>상호</t>
    <phoneticPr fontId="2" type="noConversion"/>
  </si>
  <si>
    <t>주소</t>
    <phoneticPr fontId="2" type="noConversion"/>
  </si>
  <si>
    <t>성명</t>
    <phoneticPr fontId="2" type="noConversion"/>
  </si>
  <si>
    <t>공급받는자</t>
    <phoneticPr fontId="2" type="noConversion"/>
  </si>
  <si>
    <t>업태</t>
    <phoneticPr fontId="2" type="noConversion"/>
  </si>
  <si>
    <t>전화</t>
    <phoneticPr fontId="2" type="noConversion"/>
  </si>
  <si>
    <t>종목</t>
    <phoneticPr fontId="2" type="noConversion"/>
  </si>
  <si>
    <t>팩스</t>
    <phoneticPr fontId="2" type="noConversion"/>
  </si>
  <si>
    <t>품목</t>
    <phoneticPr fontId="2" type="noConversion"/>
  </si>
  <si>
    <t>규격</t>
    <phoneticPr fontId="2" type="noConversion"/>
  </si>
  <si>
    <t>수량</t>
    <phoneticPr fontId="2" type="noConversion"/>
  </si>
  <si>
    <t>단위</t>
    <phoneticPr fontId="2" type="noConversion"/>
  </si>
  <si>
    <t>단가</t>
    <phoneticPr fontId="2" type="noConversion"/>
  </si>
  <si>
    <t>공급가액</t>
    <phoneticPr fontId="2" type="noConversion"/>
  </si>
  <si>
    <t>세액</t>
    <phoneticPr fontId="2" type="noConversion"/>
  </si>
  <si>
    <t>비고</t>
    <phoneticPr fontId="2" type="noConversion"/>
  </si>
  <si>
    <t>계</t>
    <phoneticPr fontId="2" type="noConversion"/>
  </si>
  <si>
    <t>메모</t>
    <phoneticPr fontId="2" type="noConversion"/>
  </si>
  <si>
    <t>최종잔금</t>
    <phoneticPr fontId="2" type="noConversion"/>
  </si>
  <si>
    <t>인수자</t>
    <phoneticPr fontId="2" type="noConversion"/>
  </si>
  <si>
    <t>No</t>
    <phoneticPr fontId="2" type="noConversion"/>
  </si>
  <si>
    <t>등록번호</t>
  </si>
  <si>
    <t>합 계 금 액</t>
  </si>
  <si>
    <t>합 계 금 액</t>
    <phoneticPr fontId="2" type="noConversion"/>
  </si>
  <si>
    <t>공 급 자</t>
  </si>
  <si>
    <t>공 급 자</t>
    <phoneticPr fontId="2" type="noConversion"/>
  </si>
  <si>
    <t>주소</t>
  </si>
  <si>
    <t>전화</t>
  </si>
  <si>
    <t>팩스</t>
  </si>
  <si>
    <t>계</t>
  </si>
  <si>
    <t>메모</t>
  </si>
  <si>
    <t>최종잔금</t>
  </si>
  <si>
    <t>인수자</t>
  </si>
  <si>
    <t>직접입력</t>
    <phoneticPr fontId="2" type="noConversion"/>
  </si>
  <si>
    <t>직접입력</t>
  </si>
  <si>
    <t>품목</t>
  </si>
  <si>
    <t>공급받는자</t>
  </si>
  <si>
    <t>No</t>
  </si>
  <si>
    <t>규격</t>
  </si>
  <si>
    <t>수량</t>
  </si>
  <si>
    <t>단위</t>
  </si>
  <si>
    <t>단가</t>
  </si>
  <si>
    <t>공급가액</t>
  </si>
  <si>
    <t>세액</t>
  </si>
  <si>
    <t>거래일시</t>
    <phoneticPr fontId="2" type="noConversion"/>
  </si>
  <si>
    <t>거래일시</t>
  </si>
  <si>
    <t>거래명세서 번호</t>
    <phoneticPr fontId="2" type="noConversion"/>
  </si>
  <si>
    <t>총합계</t>
  </si>
  <si>
    <t>합계 : 수량</t>
  </si>
  <si>
    <t>합계 : 단가</t>
  </si>
  <si>
    <t>합계 : 공급가액</t>
  </si>
  <si>
    <t>합계 : 세액</t>
  </si>
  <si>
    <t>분기</t>
    <phoneticPr fontId="2" type="noConversion"/>
  </si>
  <si>
    <t>년</t>
    <phoneticPr fontId="2" type="noConversion"/>
  </si>
  <si>
    <t>월</t>
    <phoneticPr fontId="2" type="noConversion"/>
  </si>
  <si>
    <t>일</t>
    <phoneticPr fontId="2" type="noConversion"/>
  </si>
  <si>
    <t>분기</t>
  </si>
  <si>
    <t>월</t>
  </si>
  <si>
    <t>합계</t>
    <phoneticPr fontId="2" type="noConversion"/>
  </si>
  <si>
    <t>합계 : 합계</t>
  </si>
  <si>
    <t>품목1</t>
    <phoneticPr fontId="2" type="noConversion"/>
  </si>
  <si>
    <r>
      <rPr>
        <sz val="10"/>
        <rFont val="Malgun Gothic"/>
        <family val="2"/>
        <charset val="129"/>
      </rPr>
      <t>규격</t>
    </r>
    <r>
      <rPr>
        <sz val="10"/>
        <rFont val="Arial"/>
        <family val="2"/>
      </rPr>
      <t>1</t>
    </r>
    <phoneticPr fontId="2" type="noConversion"/>
  </si>
  <si>
    <r>
      <rPr>
        <sz val="10"/>
        <rFont val="Malgun Gothic"/>
        <family val="2"/>
        <charset val="129"/>
      </rPr>
      <t>수량</t>
    </r>
    <r>
      <rPr>
        <sz val="10"/>
        <rFont val="Arial"/>
        <family val="2"/>
      </rPr>
      <t>1</t>
    </r>
    <phoneticPr fontId="2" type="noConversion"/>
  </si>
  <si>
    <t>단위1</t>
    <phoneticPr fontId="2" type="noConversion"/>
  </si>
  <si>
    <r>
      <rPr>
        <sz val="10"/>
        <rFont val="Malgun Gothic"/>
        <family val="2"/>
        <charset val="129"/>
      </rPr>
      <t>단가</t>
    </r>
    <r>
      <rPr>
        <sz val="10"/>
        <rFont val="Arial"/>
        <family val="2"/>
      </rPr>
      <t>1</t>
    </r>
    <phoneticPr fontId="2" type="noConversion"/>
  </si>
  <si>
    <r>
      <rPr>
        <sz val="10"/>
        <rFont val="Malgun Gothic"/>
        <family val="2"/>
        <charset val="129"/>
      </rPr>
      <t>공급가액</t>
    </r>
    <r>
      <rPr>
        <sz val="10"/>
        <rFont val="Arial"/>
        <family val="2"/>
      </rPr>
      <t>1</t>
    </r>
    <phoneticPr fontId="2" type="noConversion"/>
  </si>
  <si>
    <r>
      <rPr>
        <sz val="10"/>
        <rFont val="Malgun Gothic"/>
        <family val="2"/>
        <charset val="129"/>
      </rPr>
      <t>세액</t>
    </r>
    <r>
      <rPr>
        <sz val="10"/>
        <rFont val="Arial"/>
        <family val="2"/>
      </rPr>
      <t>1</t>
    </r>
    <phoneticPr fontId="2" type="noConversion"/>
  </si>
  <si>
    <t>합계1</t>
    <phoneticPr fontId="2" type="noConversion"/>
  </si>
  <si>
    <t>비고1</t>
    <phoneticPr fontId="2" type="noConversion"/>
  </si>
  <si>
    <t>품목2</t>
  </si>
  <si>
    <r>
      <rPr>
        <sz val="10"/>
        <rFont val="Malgun Gothic"/>
        <family val="2"/>
        <charset val="129"/>
      </rPr>
      <t>규격</t>
    </r>
    <r>
      <rPr>
        <sz val="10"/>
        <rFont val="Arial"/>
        <family val="2"/>
      </rPr>
      <t>2</t>
    </r>
    <r>
      <rPr>
        <sz val="12"/>
        <color theme="1"/>
        <rFont val="맑은 고딕"/>
        <family val="2"/>
        <charset val="129"/>
        <scheme val="minor"/>
      </rPr>
      <t/>
    </r>
  </si>
  <si>
    <t>품목3</t>
  </si>
  <si>
    <r>
      <rPr>
        <sz val="10"/>
        <rFont val="Malgun Gothic"/>
        <family val="2"/>
        <charset val="129"/>
      </rPr>
      <t>규격</t>
    </r>
    <r>
      <rPr>
        <sz val="10"/>
        <rFont val="Arial"/>
        <family val="2"/>
      </rPr>
      <t>3</t>
    </r>
    <r>
      <rPr>
        <sz val="12"/>
        <color theme="1"/>
        <rFont val="맑은 고딕"/>
        <family val="2"/>
        <charset val="129"/>
        <scheme val="minor"/>
      </rPr>
      <t/>
    </r>
  </si>
  <si>
    <t>품목4</t>
  </si>
  <si>
    <r>
      <rPr>
        <sz val="10"/>
        <rFont val="Malgun Gothic"/>
        <family val="2"/>
        <charset val="129"/>
      </rPr>
      <t>규격</t>
    </r>
    <r>
      <rPr>
        <sz val="10"/>
        <rFont val="Arial"/>
        <family val="2"/>
      </rPr>
      <t>4</t>
    </r>
    <r>
      <rPr>
        <sz val="12"/>
        <color theme="1"/>
        <rFont val="맑은 고딕"/>
        <family val="2"/>
        <charset val="129"/>
        <scheme val="minor"/>
      </rPr>
      <t/>
    </r>
  </si>
  <si>
    <t>품목5</t>
  </si>
  <si>
    <r>
      <rPr>
        <sz val="10"/>
        <rFont val="Malgun Gothic"/>
        <family val="2"/>
        <charset val="129"/>
      </rPr>
      <t>규격</t>
    </r>
    <r>
      <rPr>
        <sz val="10"/>
        <rFont val="Arial"/>
        <family val="2"/>
      </rPr>
      <t>5</t>
    </r>
    <r>
      <rPr>
        <sz val="12"/>
        <color theme="1"/>
        <rFont val="맑은 고딕"/>
        <family val="2"/>
        <charset val="129"/>
        <scheme val="minor"/>
      </rPr>
      <t/>
    </r>
  </si>
  <si>
    <t>품목6</t>
  </si>
  <si>
    <r>
      <rPr>
        <sz val="10"/>
        <rFont val="Malgun Gothic"/>
        <family val="2"/>
        <charset val="129"/>
      </rPr>
      <t>규격</t>
    </r>
    <r>
      <rPr>
        <sz val="10"/>
        <rFont val="Arial"/>
        <family val="2"/>
      </rPr>
      <t>6</t>
    </r>
    <r>
      <rPr>
        <sz val="12"/>
        <color theme="1"/>
        <rFont val="맑은 고딕"/>
        <family val="2"/>
        <charset val="129"/>
        <scheme val="minor"/>
      </rPr>
      <t/>
    </r>
  </si>
  <si>
    <t>품목7</t>
  </si>
  <si>
    <r>
      <rPr>
        <sz val="10"/>
        <rFont val="Malgun Gothic"/>
        <family val="2"/>
        <charset val="129"/>
      </rPr>
      <t>규격</t>
    </r>
    <r>
      <rPr>
        <sz val="10"/>
        <rFont val="Arial"/>
        <family val="2"/>
      </rPr>
      <t>7</t>
    </r>
    <r>
      <rPr>
        <sz val="12"/>
        <color theme="1"/>
        <rFont val="맑은 고딕"/>
        <family val="2"/>
        <charset val="129"/>
        <scheme val="minor"/>
      </rPr>
      <t/>
    </r>
  </si>
  <si>
    <t>품목8</t>
  </si>
  <si>
    <r>
      <rPr>
        <sz val="10"/>
        <rFont val="Malgun Gothic"/>
        <family val="2"/>
        <charset val="129"/>
      </rPr>
      <t>규격</t>
    </r>
    <r>
      <rPr>
        <sz val="10"/>
        <rFont val="Arial"/>
        <family val="2"/>
      </rPr>
      <t>8</t>
    </r>
    <r>
      <rPr>
        <sz val="12"/>
        <color theme="1"/>
        <rFont val="맑은 고딕"/>
        <family val="2"/>
        <charset val="129"/>
        <scheme val="minor"/>
      </rPr>
      <t/>
    </r>
  </si>
  <si>
    <t>품목9</t>
  </si>
  <si>
    <r>
      <rPr>
        <sz val="10"/>
        <rFont val="Malgun Gothic"/>
        <family val="2"/>
        <charset val="129"/>
      </rPr>
      <t>규격</t>
    </r>
    <r>
      <rPr>
        <sz val="10"/>
        <rFont val="Arial"/>
        <family val="2"/>
      </rPr>
      <t>9</t>
    </r>
    <r>
      <rPr>
        <sz val="12"/>
        <color theme="1"/>
        <rFont val="맑은 고딕"/>
        <family val="2"/>
        <charset val="129"/>
        <scheme val="minor"/>
      </rPr>
      <t/>
    </r>
  </si>
  <si>
    <t>품목10</t>
  </si>
  <si>
    <r>
      <rPr>
        <sz val="10"/>
        <rFont val="Malgun Gothic"/>
        <family val="2"/>
        <charset val="129"/>
      </rPr>
      <t>규격</t>
    </r>
    <r>
      <rPr>
        <sz val="10"/>
        <rFont val="Arial"/>
        <family val="2"/>
      </rPr>
      <t>10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</si>
  <si>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수량</t>
    </r>
    <r>
      <rPr>
        <sz val="10"/>
        <rFont val="Arial"/>
        <family val="2"/>
      </rPr>
      <t>2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</si>
  <si>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단위</t>
    </r>
    <r>
      <rPr>
        <sz val="10"/>
        <rFont val="Arial"/>
        <family val="2"/>
      </rPr>
      <t>2</t>
    </r>
  </si>
  <si>
    <r>
      <rPr>
        <sz val="10"/>
        <rFont val="Malgun Gothic"/>
        <family val="2"/>
        <charset val="129"/>
      </rPr>
      <t>단가</t>
    </r>
    <r>
      <rPr>
        <sz val="10"/>
        <rFont val="Arial"/>
        <family val="2"/>
      </rPr>
      <t>2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</si>
  <si>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공급가액</t>
    </r>
    <r>
      <rPr>
        <sz val="10"/>
        <rFont val="Arial"/>
        <family val="2"/>
      </rPr>
      <t>2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</si>
  <si>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세액</t>
    </r>
    <r>
      <rPr>
        <sz val="10"/>
        <rFont val="Arial"/>
        <family val="2"/>
      </rPr>
      <t>2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</si>
  <si>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합계</t>
    </r>
    <r>
      <rPr>
        <sz val="10"/>
        <rFont val="Arial"/>
        <family val="2"/>
      </rPr>
      <t>2</t>
    </r>
  </si>
  <si>
    <r>
      <rPr>
        <sz val="10"/>
        <rFont val="Malgun Gothic"/>
        <family val="2"/>
        <charset val="129"/>
      </rPr>
      <t>비고</t>
    </r>
    <r>
      <rPr>
        <sz val="10"/>
        <rFont val="Arial"/>
        <family val="2"/>
      </rPr>
      <t>2</t>
    </r>
  </si>
  <si>
    <r>
      <rPr>
        <sz val="10"/>
        <rFont val="Malgun Gothic"/>
        <family val="2"/>
        <charset val="129"/>
      </rPr>
      <t>수량</t>
    </r>
    <r>
      <rPr>
        <sz val="10"/>
        <rFont val="Arial"/>
        <family val="2"/>
      </rPr>
      <t>3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</si>
  <si>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단위</t>
    </r>
    <r>
      <rPr>
        <sz val="10"/>
        <rFont val="Arial"/>
        <family val="2"/>
      </rPr>
      <t>3</t>
    </r>
  </si>
  <si>
    <r>
      <rPr>
        <sz val="10"/>
        <rFont val="Malgun Gothic"/>
        <family val="2"/>
        <charset val="129"/>
      </rPr>
      <t>단가</t>
    </r>
    <r>
      <rPr>
        <sz val="10"/>
        <rFont val="Arial"/>
        <family val="2"/>
      </rPr>
      <t>3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</si>
  <si>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공급가액</t>
    </r>
    <r>
      <rPr>
        <sz val="10"/>
        <rFont val="Arial"/>
        <family val="2"/>
      </rPr>
      <t>3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</si>
  <si>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세액</t>
    </r>
    <r>
      <rPr>
        <sz val="10"/>
        <rFont val="Arial"/>
        <family val="2"/>
      </rPr>
      <t>3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</si>
  <si>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합계</t>
    </r>
    <r>
      <rPr>
        <sz val="10"/>
        <rFont val="Arial"/>
        <family val="2"/>
      </rPr>
      <t>3</t>
    </r>
  </si>
  <si>
    <r>
      <rPr>
        <sz val="10"/>
        <rFont val="Malgun Gothic"/>
        <family val="2"/>
        <charset val="129"/>
      </rPr>
      <t>비고</t>
    </r>
    <r>
      <rPr>
        <sz val="10"/>
        <rFont val="Arial"/>
        <family val="2"/>
      </rPr>
      <t>3</t>
    </r>
  </si>
  <si>
    <r>
      <rPr>
        <sz val="10"/>
        <rFont val="Malgun Gothic"/>
        <family val="2"/>
        <charset val="129"/>
      </rPr>
      <t>수량</t>
    </r>
    <r>
      <rPr>
        <sz val="10"/>
        <rFont val="Arial"/>
        <family val="2"/>
      </rPr>
      <t>4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</si>
  <si>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단위</t>
    </r>
    <r>
      <rPr>
        <sz val="10"/>
        <rFont val="Arial"/>
        <family val="2"/>
      </rPr>
      <t>4</t>
    </r>
  </si>
  <si>
    <r>
      <rPr>
        <sz val="10"/>
        <rFont val="Malgun Gothic"/>
        <family val="2"/>
        <charset val="129"/>
      </rPr>
      <t>단가</t>
    </r>
    <r>
      <rPr>
        <sz val="10"/>
        <rFont val="Arial"/>
        <family val="2"/>
      </rPr>
      <t>4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</si>
  <si>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공급가액</t>
    </r>
    <r>
      <rPr>
        <sz val="10"/>
        <rFont val="Arial"/>
        <family val="2"/>
      </rPr>
      <t>4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</si>
  <si>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세액</t>
    </r>
    <r>
      <rPr>
        <sz val="10"/>
        <rFont val="Arial"/>
        <family val="2"/>
      </rPr>
      <t>4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</si>
  <si>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합계</t>
    </r>
    <r>
      <rPr>
        <sz val="10"/>
        <rFont val="Arial"/>
        <family val="2"/>
      </rPr>
      <t>4</t>
    </r>
  </si>
  <si>
    <r>
      <rPr>
        <sz val="10"/>
        <rFont val="Malgun Gothic"/>
        <family val="2"/>
        <charset val="129"/>
      </rPr>
      <t>비고</t>
    </r>
    <r>
      <rPr>
        <sz val="10"/>
        <rFont val="Arial"/>
        <family val="2"/>
      </rPr>
      <t>4</t>
    </r>
  </si>
  <si>
    <r>
      <rPr>
        <sz val="10"/>
        <rFont val="Malgun Gothic"/>
        <family val="2"/>
        <charset val="129"/>
      </rPr>
      <t>수량</t>
    </r>
    <r>
      <rPr>
        <sz val="10"/>
        <rFont val="Arial"/>
        <family val="2"/>
      </rPr>
      <t>5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</si>
  <si>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단위</t>
    </r>
    <r>
      <rPr>
        <sz val="10"/>
        <rFont val="Arial"/>
        <family val="2"/>
      </rPr>
      <t>5</t>
    </r>
  </si>
  <si>
    <r>
      <rPr>
        <sz val="10"/>
        <rFont val="Malgun Gothic"/>
        <family val="2"/>
        <charset val="129"/>
      </rPr>
      <t>단가</t>
    </r>
    <r>
      <rPr>
        <sz val="10"/>
        <rFont val="Arial"/>
        <family val="2"/>
      </rPr>
      <t>5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</si>
  <si>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공급가액</t>
    </r>
    <r>
      <rPr>
        <sz val="10"/>
        <rFont val="Arial"/>
        <family val="2"/>
      </rPr>
      <t>5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</si>
  <si>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세액</t>
    </r>
    <r>
      <rPr>
        <sz val="10"/>
        <rFont val="Arial"/>
        <family val="2"/>
      </rPr>
      <t>5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</si>
  <si>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합계</t>
    </r>
    <r>
      <rPr>
        <sz val="10"/>
        <rFont val="Arial"/>
        <family val="2"/>
      </rPr>
      <t>5</t>
    </r>
  </si>
  <si>
    <r>
      <rPr>
        <sz val="10"/>
        <rFont val="Malgun Gothic"/>
        <family val="2"/>
        <charset val="129"/>
      </rPr>
      <t>비고</t>
    </r>
    <r>
      <rPr>
        <sz val="10"/>
        <rFont val="Arial"/>
        <family val="2"/>
      </rPr>
      <t>5</t>
    </r>
  </si>
  <si>
    <r>
      <rPr>
        <sz val="10"/>
        <rFont val="Malgun Gothic"/>
        <family val="2"/>
        <charset val="129"/>
      </rPr>
      <t>수량</t>
    </r>
    <r>
      <rPr>
        <sz val="10"/>
        <rFont val="Arial"/>
        <family val="2"/>
      </rPr>
      <t>6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</si>
  <si>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단위</t>
    </r>
    <r>
      <rPr>
        <sz val="10"/>
        <rFont val="Arial"/>
        <family val="2"/>
      </rPr>
      <t>6</t>
    </r>
  </si>
  <si>
    <r>
      <rPr>
        <sz val="10"/>
        <rFont val="Malgun Gothic"/>
        <family val="2"/>
        <charset val="129"/>
      </rPr>
      <t>단가</t>
    </r>
    <r>
      <rPr>
        <sz val="10"/>
        <rFont val="Arial"/>
        <family val="2"/>
      </rPr>
      <t>6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</si>
  <si>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공급가액</t>
    </r>
    <r>
      <rPr>
        <sz val="10"/>
        <rFont val="Arial"/>
        <family val="2"/>
      </rPr>
      <t>6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</si>
  <si>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세액</t>
    </r>
    <r>
      <rPr>
        <sz val="10"/>
        <rFont val="Arial"/>
        <family val="2"/>
      </rPr>
      <t>6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</si>
  <si>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합계</t>
    </r>
    <r>
      <rPr>
        <sz val="10"/>
        <rFont val="Arial"/>
        <family val="2"/>
      </rPr>
      <t>6</t>
    </r>
  </si>
  <si>
    <r>
      <rPr>
        <sz val="10"/>
        <rFont val="Malgun Gothic"/>
        <family val="2"/>
        <charset val="129"/>
      </rPr>
      <t>비고</t>
    </r>
    <r>
      <rPr>
        <sz val="10"/>
        <rFont val="Arial"/>
        <family val="2"/>
      </rPr>
      <t>6</t>
    </r>
  </si>
  <si>
    <r>
      <rPr>
        <sz val="10"/>
        <rFont val="Malgun Gothic"/>
        <family val="2"/>
        <charset val="129"/>
      </rPr>
      <t>수량</t>
    </r>
    <r>
      <rPr>
        <sz val="10"/>
        <rFont val="Arial"/>
        <family val="2"/>
      </rPr>
      <t>7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</si>
  <si>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단위</t>
    </r>
    <r>
      <rPr>
        <sz val="10"/>
        <rFont val="Arial"/>
        <family val="2"/>
      </rPr>
      <t>7</t>
    </r>
  </si>
  <si>
    <r>
      <rPr>
        <sz val="10"/>
        <rFont val="Malgun Gothic"/>
        <family val="2"/>
        <charset val="129"/>
      </rPr>
      <t>단가</t>
    </r>
    <r>
      <rPr>
        <sz val="10"/>
        <rFont val="Arial"/>
        <family val="2"/>
      </rPr>
      <t>7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</si>
  <si>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공급가액</t>
    </r>
    <r>
      <rPr>
        <sz val="10"/>
        <rFont val="Arial"/>
        <family val="2"/>
      </rPr>
      <t>7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</si>
  <si>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세액</t>
    </r>
    <r>
      <rPr>
        <sz val="10"/>
        <rFont val="Arial"/>
        <family val="2"/>
      </rPr>
      <t>7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</si>
  <si>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합계</t>
    </r>
    <r>
      <rPr>
        <sz val="10"/>
        <rFont val="Arial"/>
        <family val="2"/>
      </rPr>
      <t>7</t>
    </r>
  </si>
  <si>
    <r>
      <rPr>
        <sz val="10"/>
        <rFont val="Malgun Gothic"/>
        <family val="2"/>
        <charset val="129"/>
      </rPr>
      <t>비고</t>
    </r>
    <r>
      <rPr>
        <sz val="10"/>
        <rFont val="Arial"/>
        <family val="2"/>
      </rPr>
      <t>7</t>
    </r>
  </si>
  <si>
    <r>
      <rPr>
        <sz val="10"/>
        <rFont val="Malgun Gothic"/>
        <family val="2"/>
        <charset val="129"/>
      </rPr>
      <t>수량</t>
    </r>
    <r>
      <rPr>
        <sz val="10"/>
        <rFont val="Arial"/>
        <family val="2"/>
      </rPr>
      <t>8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</si>
  <si>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단위</t>
    </r>
    <r>
      <rPr>
        <sz val="10"/>
        <rFont val="Arial"/>
        <family val="2"/>
      </rPr>
      <t>8</t>
    </r>
  </si>
  <si>
    <r>
      <rPr>
        <sz val="10"/>
        <rFont val="Malgun Gothic"/>
        <family val="2"/>
        <charset val="129"/>
      </rPr>
      <t>단가</t>
    </r>
    <r>
      <rPr>
        <sz val="10"/>
        <rFont val="Arial"/>
        <family val="2"/>
      </rPr>
      <t>8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</si>
  <si>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공급가액</t>
    </r>
    <r>
      <rPr>
        <sz val="10"/>
        <rFont val="Arial"/>
        <family val="2"/>
      </rPr>
      <t>8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</si>
  <si>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세액</t>
    </r>
    <r>
      <rPr>
        <sz val="10"/>
        <rFont val="Arial"/>
        <family val="2"/>
      </rPr>
      <t>8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</si>
  <si>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합계</t>
    </r>
    <r>
      <rPr>
        <sz val="10"/>
        <rFont val="Arial"/>
        <family val="2"/>
      </rPr>
      <t>8</t>
    </r>
  </si>
  <si>
    <r>
      <rPr>
        <sz val="10"/>
        <rFont val="Malgun Gothic"/>
        <family val="2"/>
        <charset val="129"/>
      </rPr>
      <t>비고</t>
    </r>
    <r>
      <rPr>
        <sz val="10"/>
        <rFont val="Arial"/>
        <family val="2"/>
      </rPr>
      <t>8</t>
    </r>
  </si>
  <si>
    <r>
      <rPr>
        <sz val="10"/>
        <rFont val="Malgun Gothic"/>
        <family val="2"/>
        <charset val="129"/>
      </rPr>
      <t>수량</t>
    </r>
    <r>
      <rPr>
        <sz val="10"/>
        <rFont val="Arial"/>
        <family val="2"/>
      </rPr>
      <t>9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</si>
  <si>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단위</t>
    </r>
    <r>
      <rPr>
        <sz val="10"/>
        <rFont val="Arial"/>
        <family val="2"/>
      </rPr>
      <t>9</t>
    </r>
  </si>
  <si>
    <r>
      <rPr>
        <sz val="10"/>
        <rFont val="Malgun Gothic"/>
        <family val="2"/>
        <charset val="129"/>
      </rPr>
      <t>단가</t>
    </r>
    <r>
      <rPr>
        <sz val="10"/>
        <rFont val="Arial"/>
        <family val="2"/>
      </rPr>
      <t>9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</si>
  <si>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공급가액</t>
    </r>
    <r>
      <rPr>
        <sz val="10"/>
        <rFont val="Arial"/>
        <family val="2"/>
      </rPr>
      <t>9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</si>
  <si>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세액</t>
    </r>
    <r>
      <rPr>
        <sz val="10"/>
        <rFont val="Arial"/>
        <family val="2"/>
      </rPr>
      <t>9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</si>
  <si>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합계</t>
    </r>
    <r>
      <rPr>
        <sz val="10"/>
        <rFont val="Arial"/>
        <family val="2"/>
      </rPr>
      <t>9</t>
    </r>
  </si>
  <si>
    <r>
      <rPr>
        <sz val="10"/>
        <rFont val="Malgun Gothic"/>
        <family val="2"/>
        <charset val="129"/>
      </rPr>
      <t>비고</t>
    </r>
    <r>
      <rPr>
        <sz val="10"/>
        <rFont val="Arial"/>
        <family val="2"/>
      </rPr>
      <t>9</t>
    </r>
  </si>
  <si>
    <r>
      <rPr>
        <sz val="10"/>
        <rFont val="Malgun Gothic"/>
        <family val="2"/>
        <charset val="129"/>
      </rPr>
      <t>수량</t>
    </r>
    <r>
      <rPr>
        <sz val="10"/>
        <rFont val="Arial"/>
        <family val="2"/>
      </rPr>
      <t>10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</si>
  <si>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단위</t>
    </r>
    <r>
      <rPr>
        <sz val="10"/>
        <rFont val="Arial"/>
        <family val="2"/>
      </rPr>
      <t>10</t>
    </r>
  </si>
  <si>
    <r>
      <rPr>
        <sz val="10"/>
        <rFont val="Malgun Gothic"/>
        <family val="2"/>
        <charset val="129"/>
      </rPr>
      <t>단가</t>
    </r>
    <r>
      <rPr>
        <sz val="10"/>
        <rFont val="Arial"/>
        <family val="2"/>
      </rPr>
      <t>10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</si>
  <si>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공급가액</t>
    </r>
    <r>
      <rPr>
        <sz val="10"/>
        <rFont val="Arial"/>
        <family val="2"/>
      </rPr>
      <t>10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</si>
  <si>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세액</t>
    </r>
    <r>
      <rPr>
        <sz val="10"/>
        <rFont val="Arial"/>
        <family val="2"/>
      </rPr>
      <t>10</t>
    </r>
    <r>
      <rPr>
        <sz val="12"/>
        <color theme="1"/>
        <rFont val="맑은 고딕"/>
        <family val="2"/>
        <charset val="129"/>
        <scheme val="minor"/>
      </rPr>
      <t/>
    </r>
  </si>
  <si>
    <r>
      <rPr>
        <sz val="10"/>
        <rFont val="Malgun Gothic"/>
        <family val="2"/>
        <charset val="129"/>
      </rPr>
      <t>합계</t>
    </r>
    <r>
      <rPr>
        <sz val="10"/>
        <rFont val="Arial"/>
        <family val="2"/>
      </rPr>
      <t>10</t>
    </r>
  </si>
  <si>
    <r>
      <rPr>
        <sz val="10"/>
        <rFont val="Malgun Gothic"/>
        <family val="2"/>
        <charset val="129"/>
      </rPr>
      <t>비고</t>
    </r>
    <r>
      <rPr>
        <sz val="10"/>
        <rFont val="Arial"/>
        <family val="2"/>
      </rPr>
      <t>10</t>
    </r>
  </si>
  <si>
    <t>합계</t>
  </si>
  <si>
    <t>참조번호</t>
    <phoneticPr fontId="2" type="noConversion"/>
  </si>
  <si>
    <t>추가필드1</t>
    <phoneticPr fontId="2" type="noConversion"/>
  </si>
  <si>
    <t>추가필드2</t>
    <phoneticPr fontId="2" type="noConversion"/>
  </si>
  <si>
    <t>참조번호1</t>
    <phoneticPr fontId="2" type="noConversion"/>
  </si>
  <si>
    <t>참조번호2</t>
    <phoneticPr fontId="2" type="noConversion"/>
  </si>
  <si>
    <t>참조번호3</t>
    <phoneticPr fontId="2" type="noConversion"/>
  </si>
  <si>
    <t>참조번호4</t>
    <phoneticPr fontId="2" type="noConversion"/>
  </si>
  <si>
    <t>참조번호5</t>
    <phoneticPr fontId="2" type="noConversion"/>
  </si>
  <si>
    <t>참조번호6</t>
    <phoneticPr fontId="2" type="noConversion"/>
  </si>
  <si>
    <t>참조번호7</t>
    <phoneticPr fontId="2" type="noConversion"/>
  </si>
  <si>
    <t>참조번호8</t>
    <phoneticPr fontId="2" type="noConversion"/>
  </si>
  <si>
    <t>참조번호9</t>
    <phoneticPr fontId="2" type="noConversion"/>
  </si>
  <si>
    <t>참조번호10</t>
    <phoneticPr fontId="2" type="noConversion"/>
  </si>
  <si>
    <t>참조번호합계</t>
    <phoneticPr fontId="2" type="noConversion"/>
  </si>
  <si>
    <t>새로작성</t>
    <phoneticPr fontId="2" type="noConversion"/>
  </si>
  <si>
    <t>추가필드3</t>
    <phoneticPr fontId="2" type="noConversion"/>
  </si>
  <si>
    <t>참조번호</t>
  </si>
  <si>
    <t>거래명세서 번호</t>
  </si>
  <si>
    <t>년</t>
  </si>
  <si>
    <t>일</t>
  </si>
  <si>
    <t>키값</t>
    <phoneticPr fontId="2" type="noConversion"/>
  </si>
  <si>
    <t>(다중 항목)</t>
  </si>
  <si>
    <t>불러오기</t>
    <phoneticPr fontId="2" type="noConversion"/>
  </si>
  <si>
    <t>버전</t>
    <phoneticPr fontId="2" type="noConversion"/>
  </si>
  <si>
    <t>날짜</t>
    <phoneticPr fontId="2" type="noConversion"/>
  </si>
  <si>
    <r>
      <rPr>
        <b/>
        <sz val="24"/>
        <color rgb="FFC00000"/>
        <rFont val="맑은 고딕 (본문)"/>
        <charset val="129"/>
      </rPr>
      <t>거  래  명  세  서</t>
    </r>
    <r>
      <rPr>
        <b/>
        <sz val="10"/>
        <color rgb="FFC00000"/>
        <rFont val="맑은 고딕"/>
        <family val="2"/>
        <charset val="129"/>
        <scheme val="minor"/>
      </rPr>
      <t xml:space="preserve"> (공급자 보관용)</t>
    </r>
    <phoneticPr fontId="2" type="noConversion"/>
  </si>
  <si>
    <r>
      <rPr>
        <b/>
        <sz val="24"/>
        <color theme="4"/>
        <rFont val="맑은 고딕 (본문)"/>
        <charset val="129"/>
      </rPr>
      <t>거  래  명  세  서</t>
    </r>
    <r>
      <rPr>
        <b/>
        <sz val="10"/>
        <color theme="4"/>
        <rFont val="맑은 고딕"/>
        <family val="2"/>
        <charset val="129"/>
        <scheme val="minor"/>
      </rPr>
      <t xml:space="preserve"> (공급받는자 보관용)</t>
    </r>
    <phoneticPr fontId="2" type="noConversion"/>
  </si>
  <si>
    <t>v1.0.0</t>
    <phoneticPr fontId="2" type="noConversion"/>
  </si>
  <si>
    <t>000-00-000000</t>
    <phoneticPr fontId="2" type="noConversion"/>
  </si>
  <si>
    <t>OOOO</t>
    <phoneticPr fontId="2" type="noConversion"/>
  </si>
  <si>
    <t>OOO</t>
    <phoneticPr fontId="2" type="noConversion"/>
  </si>
  <si>
    <t>OOOO OOO OOOO OO OO-OO</t>
    <phoneticPr fontId="2" type="noConversion"/>
  </si>
  <si>
    <t>OOOOOO</t>
    <phoneticPr fontId="2" type="noConversion"/>
  </si>
  <si>
    <t>000-000-0000</t>
    <phoneticPr fontId="2" type="noConversion"/>
  </si>
  <si>
    <t>[입금계좌] OO은행 0000-000-000000   예금주 : OOO</t>
    <phoneticPr fontId="2" type="noConversion"/>
  </si>
  <si>
    <t>제품1</t>
    <phoneticPr fontId="2" type="noConversion"/>
  </si>
  <si>
    <t>제품2</t>
  </si>
  <si>
    <t>제품3</t>
  </si>
  <si>
    <t>제품4</t>
  </si>
  <si>
    <t>제품5</t>
  </si>
  <si>
    <t>제품6</t>
  </si>
  <si>
    <t>제품7</t>
  </si>
  <si>
    <t>제품8</t>
  </si>
  <si>
    <t>제품9</t>
  </si>
  <si>
    <t>규격1</t>
    <phoneticPr fontId="2" type="noConversion"/>
  </si>
  <si>
    <t>규격2</t>
  </si>
  <si>
    <t>규격3</t>
  </si>
  <si>
    <t>규격4</t>
  </si>
  <si>
    <t>규격5</t>
  </si>
  <si>
    <t>규격6</t>
  </si>
  <si>
    <t>규격7</t>
  </si>
  <si>
    <t>규격8</t>
  </si>
  <si>
    <t>규격9</t>
  </si>
  <si>
    <t>규격10</t>
  </si>
  <si>
    <t>규격11</t>
  </si>
  <si>
    <t>규격12</t>
  </si>
  <si>
    <t>규격13</t>
  </si>
  <si>
    <t>규격14</t>
  </si>
  <si>
    <t>규격15</t>
  </si>
  <si>
    <r>
      <rPr>
        <sz val="10"/>
        <rFont val="Malgun Gothic"/>
        <family val="2"/>
        <charset val="129"/>
      </rPr>
      <t>규격1</t>
    </r>
    <r>
      <rPr>
        <sz val="10"/>
        <rFont val="Arial"/>
        <family val="2"/>
      </rPr>
      <t>6</t>
    </r>
    <phoneticPr fontId="2" type="noConversion"/>
  </si>
  <si>
    <r>
      <rPr>
        <sz val="10"/>
        <rFont val="Malgun Gothic"/>
        <family val="2"/>
        <charset val="129"/>
      </rPr>
      <t>규격17</t>
    </r>
    <r>
      <rPr>
        <sz val="10"/>
        <rFont val="Arial"/>
        <family val="2"/>
      </rPr>
      <t/>
    </r>
  </si>
  <si>
    <r>
      <rPr>
        <sz val="10"/>
        <rFont val="Malgun Gothic"/>
        <family val="2"/>
        <charset val="129"/>
      </rPr>
      <t>규격18</t>
    </r>
    <r>
      <rPr>
        <sz val="10"/>
        <rFont val="Arial"/>
        <family val="2"/>
      </rPr>
      <t/>
    </r>
  </si>
  <si>
    <r>
      <rPr>
        <sz val="10"/>
        <rFont val="Malgun Gothic"/>
        <family val="2"/>
        <charset val="129"/>
      </rPr>
      <t>규격19</t>
    </r>
    <r>
      <rPr>
        <sz val="10"/>
        <rFont val="Arial"/>
        <family val="2"/>
      </rPr>
      <t/>
    </r>
  </si>
  <si>
    <r>
      <rPr>
        <sz val="10"/>
        <rFont val="Malgun Gothic"/>
        <family val="2"/>
        <charset val="129"/>
      </rPr>
      <t>규격20</t>
    </r>
    <r>
      <rPr>
        <sz val="10"/>
        <rFont val="Arial"/>
        <family val="2"/>
      </rPr>
      <t/>
    </r>
  </si>
  <si>
    <t>규격21</t>
    <phoneticPr fontId="2" type="noConversion"/>
  </si>
  <si>
    <t>규격22</t>
  </si>
  <si>
    <t>규격23</t>
  </si>
  <si>
    <t>규격24</t>
  </si>
  <si>
    <t>규격25</t>
  </si>
  <si>
    <t>규격26</t>
    <phoneticPr fontId="2" type="noConversion"/>
  </si>
  <si>
    <t>규격27</t>
  </si>
  <si>
    <t>규격28</t>
  </si>
  <si>
    <t>규격29</t>
  </si>
  <si>
    <t>규격30</t>
  </si>
  <si>
    <t>규격31</t>
  </si>
  <si>
    <t>규격32</t>
  </si>
  <si>
    <t>규격33</t>
  </si>
  <si>
    <t>규격34</t>
  </si>
  <si>
    <t>규격35</t>
  </si>
  <si>
    <t>규격36</t>
    <phoneticPr fontId="2" type="noConversion"/>
  </si>
  <si>
    <t>규격37</t>
  </si>
  <si>
    <t>규격38</t>
  </si>
  <si>
    <t>규격39</t>
  </si>
  <si>
    <t>규격40</t>
  </si>
  <si>
    <t>규격41</t>
  </si>
  <si>
    <t>규격42</t>
  </si>
  <si>
    <t>규격43</t>
  </si>
  <si>
    <t>규격44</t>
  </si>
  <si>
    <t>규격45</t>
  </si>
  <si>
    <t>규격46</t>
    <phoneticPr fontId="2" type="noConversion"/>
  </si>
  <si>
    <t>규격47</t>
  </si>
  <si>
    <t>규격48</t>
  </si>
  <si>
    <t>규격49</t>
  </si>
  <si>
    <t>규격50</t>
  </si>
  <si>
    <t>규격51</t>
    <phoneticPr fontId="2" type="noConversion"/>
  </si>
  <si>
    <t>규격52</t>
  </si>
  <si>
    <t>규격53</t>
  </si>
  <si>
    <t>규격54</t>
  </si>
  <si>
    <t>규격55</t>
  </si>
  <si>
    <t>규격56</t>
    <phoneticPr fontId="2" type="noConversion"/>
  </si>
  <si>
    <t>규격57</t>
  </si>
  <si>
    <t>규격58</t>
  </si>
  <si>
    <t>규격59</t>
  </si>
  <si>
    <t>규격60</t>
  </si>
  <si>
    <t>규격61</t>
  </si>
  <si>
    <t>규격62</t>
  </si>
  <si>
    <t>규격63</t>
  </si>
  <si>
    <t>규격64</t>
  </si>
  <si>
    <t>규격65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</si>
</sst>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6" formatCode="&quot;₩&quot;#,##0_);[Red]\(&quot;₩&quot;#,##0\)"/>
    <numFmt numFmtId="42" formatCode="_(&quot;₩&quot;* #,##0_);_(&quot;₩&quot;* \(#,##0\);_(&quot;₩&quot;* &quot;-&quot;_);_(@_)"/>
    <numFmt numFmtId="41" formatCode="_(* #,##0_);_(* \(#,##0\);_(* &quot;-&quot;_);_(@_)"/>
    <numFmt numFmtId="176" formatCode="0_);[Red]\(0\)"/>
    <numFmt numFmtId="177" formatCode="&quot;T&quot;0000"/>
    <numFmt numFmtId="178" formatCode="&quot;A&quot;0000"/>
    <numFmt numFmtId="179" formatCode="#,##0_ "/>
    <numFmt numFmtId="180" formatCode="yyyy&quot;년&quot;\ m&quot;월&quot;\ d&quot;일&quot;;@"/>
    <numFmt numFmtId="181" formatCode="yyyy&quot;-&quot;m&quot;-&quot;d;@"/>
    <numFmt numFmtId="182" formatCode="&quot;T&quot;00000"/>
    <numFmt numFmtId="183" formatCode="&quot;R&quot;0000000"/>
    <numFmt numFmtId="184" formatCode="&quot;A&quot;00000"/>
    <numFmt numFmtId="185" formatCode="yyyy\-mm\-dd;@"/>
  </numFmts>
  <fonts count="22">
    <font>
      <sz val="10"/>
      <name val="Arial"/>
    </font>
    <font>
      <sz val="12"/>
      <color theme="1"/>
      <name val="맑은 고딕"/>
      <family val="2"/>
      <charset val="129"/>
      <scheme val="minor"/>
    </font>
    <font>
      <sz val="8"/>
      <name val="나눔고딕OTF"/>
      <family val="3"/>
      <charset val="129"/>
    </font>
    <font>
      <sz val="10"/>
      <name val="Arial"/>
      <family val="2"/>
    </font>
    <font>
      <sz val="10"/>
      <name val="Arial"/>
      <family val="2"/>
    </font>
    <font>
      <sz val="10"/>
      <name val="맑은 고딕"/>
      <family val="2"/>
      <charset val="129"/>
      <scheme val="minor"/>
    </font>
    <font>
      <u val="doubleAccounting"/>
      <sz val="10"/>
      <name val="Arial"/>
      <family val="2"/>
    </font>
    <font>
      <u val="doubleAccounting"/>
      <sz val="10"/>
      <name val="Arial"/>
      <family val="2"/>
      <charset val="129"/>
    </font>
    <font>
      <sz val="10"/>
      <color theme="4"/>
      <name val="맑은 고딕"/>
      <family val="2"/>
      <charset val="129"/>
      <scheme val="minor"/>
    </font>
    <font>
      <b/>
      <sz val="10"/>
      <color theme="4"/>
      <name val="맑은 고딕"/>
      <family val="2"/>
      <charset val="129"/>
      <scheme val="minor"/>
    </font>
    <font>
      <sz val="10"/>
      <color rgb="FFC00000"/>
      <name val="맑은 고딕"/>
      <family val="2"/>
      <charset val="129"/>
      <scheme val="minor"/>
    </font>
    <font>
      <b/>
      <sz val="10"/>
      <color rgb="FFC00000"/>
      <name val="맑은 고딕"/>
      <family val="2"/>
      <charset val="129"/>
      <scheme val="minor"/>
    </font>
    <font>
      <sz val="10"/>
      <name val="Malgun Gothic"/>
      <family val="2"/>
      <charset val="129"/>
    </font>
    <font>
      <sz val="10"/>
      <name val="Arial"/>
      <family val="2"/>
      <charset val="129"/>
    </font>
    <font>
      <b/>
      <sz val="14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16"/>
      <name val="Arial"/>
      <family val="2"/>
    </font>
    <font>
      <b/>
      <sz val="72"/>
      <name val="Arial"/>
      <family val="2"/>
    </font>
    <font>
      <b/>
      <sz val="24"/>
      <color theme="4"/>
      <name val="맑은 고딕 (본문)"/>
      <charset val="129"/>
    </font>
    <font>
      <b/>
      <sz val="24"/>
      <color rgb="FFC00000"/>
      <name val="맑은 고딕 (본문)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mediumDashed">
        <color auto="1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/>
      <right style="thin">
        <color rgb="FFC00000"/>
      </right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 style="thin">
        <color rgb="FFC00000"/>
      </right>
      <top/>
      <bottom/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1" fontId="4" fillId="0" borderId="0" applyFont="0" applyFill="0" applyBorder="0" applyAlignment="0" applyProtection="0">
      <alignment vertical="center"/>
    </xf>
  </cellStyleXfs>
  <cellXfs count="279">
    <xf numFmtId="0" fontId="0" fillId="0" borderId="0" xfId="0"/>
    <xf numFmtId="41" fontId="5" fillId="2" borderId="4" xfId="1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176" fontId="5" fillId="2" borderId="4" xfId="0" applyNumberFormat="1" applyFont="1" applyFill="1" applyBorder="1" applyAlignment="1">
      <alignment horizontal="center" vertical="center"/>
    </xf>
    <xf numFmtId="0" fontId="7" fillId="2" borderId="7" xfId="0" applyFont="1" applyFill="1" applyBorder="1" applyAlignment="1">
      <alignment vertical="center"/>
    </xf>
    <xf numFmtId="0" fontId="6" fillId="2" borderId="8" xfId="0" applyFont="1" applyFill="1" applyBorder="1" applyAlignment="1">
      <alignment vertical="center"/>
    </xf>
    <xf numFmtId="0" fontId="6" fillId="2" borderId="9" xfId="0" applyFont="1" applyFill="1" applyBorder="1" applyAlignment="1">
      <alignment vertical="center"/>
    </xf>
    <xf numFmtId="0" fontId="6" fillId="2" borderId="10" xfId="0" applyFont="1" applyFill="1" applyBorder="1" applyAlignment="1">
      <alignment vertical="center"/>
    </xf>
    <xf numFmtId="0" fontId="6" fillId="2" borderId="11" xfId="0" applyFont="1" applyFill="1" applyBorder="1" applyAlignment="1">
      <alignment vertical="center"/>
    </xf>
    <xf numFmtId="0" fontId="5" fillId="2" borderId="13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 applyProtection="1">
      <alignment horizontal="center" vertical="center"/>
      <protection locked="0"/>
    </xf>
    <xf numFmtId="176" fontId="5" fillId="2" borderId="6" xfId="0" applyNumberFormat="1" applyFont="1" applyFill="1" applyBorder="1" applyAlignment="1">
      <alignment horizontal="center" vertical="center"/>
    </xf>
    <xf numFmtId="41" fontId="5" fillId="2" borderId="6" xfId="1" applyFont="1" applyFill="1" applyBorder="1" applyAlignment="1" applyProtection="1">
      <alignment horizontal="center" vertical="center"/>
      <protection locked="0"/>
    </xf>
    <xf numFmtId="41" fontId="5" fillId="2" borderId="6" xfId="1" applyFont="1" applyFill="1" applyBorder="1" applyAlignment="1">
      <alignment horizontal="center" vertical="center"/>
    </xf>
    <xf numFmtId="6" fontId="5" fillId="3" borderId="4" xfId="0" applyNumberFormat="1" applyFont="1" applyFill="1" applyBorder="1" applyAlignment="1">
      <alignment horizontal="right" vertical="center"/>
    </xf>
    <xf numFmtId="0" fontId="5" fillId="3" borderId="4" xfId="0" applyNumberFormat="1" applyFont="1" applyFill="1" applyBorder="1" applyAlignment="1">
      <alignment horizontal="center" vertical="center"/>
    </xf>
    <xf numFmtId="6" fontId="5" fillId="4" borderId="6" xfId="1" applyNumberFormat="1" applyFont="1" applyFill="1" applyBorder="1" applyAlignment="1">
      <alignment horizontal="right" vertical="center"/>
    </xf>
    <xf numFmtId="0" fontId="5" fillId="4" borderId="6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>
      <alignment horizontal="center" vertical="center"/>
    </xf>
    <xf numFmtId="177" fontId="11" fillId="2" borderId="13" xfId="0" applyNumberFormat="1" applyFont="1" applyFill="1" applyBorder="1" applyAlignment="1">
      <alignment horizontal="left" vertical="center"/>
    </xf>
    <xf numFmtId="0" fontId="8" fillId="2" borderId="25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vertical="center"/>
    </xf>
    <xf numFmtId="0" fontId="6" fillId="2" borderId="29" xfId="0" applyFont="1" applyFill="1" applyBorder="1" applyAlignment="1">
      <alignment vertical="center"/>
    </xf>
    <xf numFmtId="0" fontId="6" fillId="2" borderId="30" xfId="0" applyFont="1" applyFill="1" applyBorder="1" applyAlignment="1">
      <alignment vertical="center"/>
    </xf>
    <xf numFmtId="0" fontId="6" fillId="2" borderId="31" xfId="0" applyFont="1" applyFill="1" applyBorder="1" applyAlignment="1">
      <alignment vertical="center"/>
    </xf>
    <xf numFmtId="0" fontId="0" fillId="6" borderId="24" xfId="0" applyFill="1" applyBorder="1"/>
    <xf numFmtId="0" fontId="0" fillId="5" borderId="24" xfId="0" applyFill="1" applyBorder="1"/>
    <xf numFmtId="0" fontId="3" fillId="2" borderId="24" xfId="0" applyFont="1" applyFill="1" applyBorder="1"/>
    <xf numFmtId="0" fontId="12" fillId="2" borderId="24" xfId="0" applyFont="1" applyFill="1" applyBorder="1"/>
    <xf numFmtId="0" fontId="0" fillId="2" borderId="24" xfId="0" applyFill="1" applyBorder="1"/>
    <xf numFmtId="176" fontId="0" fillId="2" borderId="24" xfId="1" applyNumberFormat="1" applyFont="1" applyFill="1" applyBorder="1" applyAlignment="1"/>
    <xf numFmtId="176" fontId="3" fillId="2" borderId="24" xfId="1" applyNumberFormat="1" applyFont="1" applyFill="1" applyBorder="1" applyAlignment="1"/>
    <xf numFmtId="0" fontId="0" fillId="2" borderId="24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41" fontId="0" fillId="2" borderId="24" xfId="1" applyFont="1" applyFill="1" applyBorder="1" applyAlignment="1">
      <alignment horizontal="center" vertical="center"/>
    </xf>
    <xf numFmtId="41" fontId="3" fillId="2" borderId="24" xfId="1" applyFont="1" applyFill="1" applyBorder="1" applyAlignment="1">
      <alignment horizontal="center" vertical="center"/>
    </xf>
    <xf numFmtId="0" fontId="0" fillId="2" borderId="24" xfId="0" applyFill="1" applyBorder="1" applyAlignment="1">
      <alignment horizontal="right" vertical="center"/>
    </xf>
    <xf numFmtId="0" fontId="3" fillId="6" borderId="24" xfId="0" applyFont="1" applyFill="1" applyBorder="1" applyAlignment="1">
      <alignment horizontal="center" vertical="center"/>
    </xf>
    <xf numFmtId="180" fontId="8" fillId="2" borderId="32" xfId="0" applyNumberFormat="1" applyFont="1" applyFill="1" applyBorder="1" applyAlignment="1">
      <alignment horizontal="left" vertical="center" indent="1"/>
    </xf>
    <xf numFmtId="0" fontId="5" fillId="2" borderId="2" xfId="0" applyFont="1" applyFill="1" applyBorder="1" applyAlignment="1">
      <alignment vertical="center"/>
    </xf>
    <xf numFmtId="0" fontId="3" fillId="2" borderId="33" xfId="0" applyFont="1" applyFill="1" applyBorder="1" applyAlignment="1">
      <alignment horizontal="center" vertical="center"/>
    </xf>
    <xf numFmtId="41" fontId="3" fillId="2" borderId="33" xfId="1" applyFont="1" applyFill="1" applyBorder="1" applyAlignment="1">
      <alignment horizontal="center" vertical="center"/>
    </xf>
    <xf numFmtId="41" fontId="3" fillId="2" borderId="26" xfId="1" applyFont="1" applyFill="1" applyBorder="1" applyAlignment="1">
      <alignment horizontal="center" vertical="center"/>
    </xf>
    <xf numFmtId="0" fontId="12" fillId="6" borderId="24" xfId="0" applyNumberFormat="1" applyFont="1" applyFill="1" applyBorder="1" applyAlignment="1">
      <alignment horizontal="center" vertical="center"/>
    </xf>
    <xf numFmtId="0" fontId="3" fillId="2" borderId="24" xfId="0" applyNumberFormat="1" applyFont="1" applyFill="1" applyBorder="1" applyAlignment="1">
      <alignment horizontal="center" vertical="center"/>
    </xf>
    <xf numFmtId="0" fontId="3" fillId="2" borderId="33" xfId="0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1" fontId="3" fillId="6" borderId="24" xfId="0" applyNumberFormat="1" applyFont="1" applyFill="1" applyBorder="1" applyAlignment="1">
      <alignment horizontal="center" vertical="center"/>
    </xf>
    <xf numFmtId="1" fontId="3" fillId="2" borderId="24" xfId="0" applyNumberFormat="1" applyFont="1" applyFill="1" applyBorder="1" applyAlignment="1">
      <alignment horizontal="center" vertical="center"/>
    </xf>
    <xf numFmtId="1" fontId="3" fillId="2" borderId="33" xfId="0" applyNumberFormat="1" applyFont="1" applyFill="1" applyBorder="1" applyAlignment="1">
      <alignment horizontal="center" vertical="center"/>
    </xf>
    <xf numFmtId="0" fontId="0" fillId="0" borderId="0" xfId="0" applyFill="1"/>
    <xf numFmtId="179" fontId="0" fillId="0" borderId="0" xfId="0" applyNumberFormat="1" applyFill="1"/>
    <xf numFmtId="42" fontId="0" fillId="0" borderId="0" xfId="0" applyNumberFormat="1" applyFill="1"/>
    <xf numFmtId="178" fontId="14" fillId="2" borderId="0" xfId="0" applyNumberFormat="1" applyFont="1" applyFill="1" applyAlignment="1">
      <alignment vertical="center"/>
    </xf>
    <xf numFmtId="41" fontId="12" fillId="6" borderId="35" xfId="1" applyFont="1" applyFill="1" applyBorder="1" applyAlignment="1">
      <alignment horizontal="center" vertical="center"/>
    </xf>
    <xf numFmtId="0" fontId="0" fillId="5" borderId="39" xfId="0" applyFill="1" applyBorder="1"/>
    <xf numFmtId="0" fontId="3" fillId="2" borderId="40" xfId="0" applyFont="1" applyFill="1" applyBorder="1"/>
    <xf numFmtId="0" fontId="0" fillId="2" borderId="40" xfId="0" applyFill="1" applyBorder="1"/>
    <xf numFmtId="0" fontId="3" fillId="6" borderId="41" xfId="0" applyFont="1" applyFill="1" applyBorder="1"/>
    <xf numFmtId="0" fontId="3" fillId="6" borderId="34" xfId="0" applyFont="1" applyFill="1" applyBorder="1"/>
    <xf numFmtId="0" fontId="12" fillId="6" borderId="34" xfId="0" applyFont="1" applyFill="1" applyBorder="1"/>
    <xf numFmtId="0" fontId="0" fillId="5" borderId="27" xfId="0" applyFill="1" applyBorder="1"/>
    <xf numFmtId="0" fontId="0" fillId="2" borderId="33" xfId="0" applyFill="1" applyBorder="1"/>
    <xf numFmtId="176" fontId="3" fillId="2" borderId="33" xfId="1" applyNumberFormat="1" applyFont="1" applyFill="1" applyBorder="1" applyAlignment="1"/>
    <xf numFmtId="0" fontId="0" fillId="2" borderId="26" xfId="0" applyFill="1" applyBorder="1"/>
    <xf numFmtId="0" fontId="0" fillId="2" borderId="37" xfId="0" applyFill="1" applyBorder="1" applyAlignment="1">
      <alignment horizontal="right"/>
    </xf>
    <xf numFmtId="0" fontId="0" fillId="6" borderId="38" xfId="0" applyFill="1" applyBorder="1" applyAlignment="1">
      <alignment horizontal="center" vertical="center"/>
    </xf>
    <xf numFmtId="0" fontId="0" fillId="6" borderId="36" xfId="0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2" borderId="39" xfId="0" applyFill="1" applyBorder="1"/>
    <xf numFmtId="0" fontId="0" fillId="6" borderId="42" xfId="0" applyFill="1" applyBorder="1" applyAlignment="1">
      <alignment horizontal="center" vertical="center"/>
    </xf>
    <xf numFmtId="0" fontId="0" fillId="2" borderId="34" xfId="0" applyFill="1" applyBorder="1"/>
    <xf numFmtId="0" fontId="0" fillId="2" borderId="27" xfId="0" applyFill="1" applyBorder="1"/>
    <xf numFmtId="0" fontId="0" fillId="2" borderId="43" xfId="0" applyFill="1" applyBorder="1" applyAlignment="1">
      <alignment horizontal="right"/>
    </xf>
    <xf numFmtId="0" fontId="5" fillId="2" borderId="0" xfId="0" applyFont="1" applyFill="1" applyBorder="1" applyAlignment="1">
      <alignment horizontal="center" vertical="center"/>
    </xf>
    <xf numFmtId="41" fontId="5" fillId="2" borderId="4" xfId="1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Alignment="1">
      <alignment horizontal="center" vertical="center"/>
    </xf>
    <xf numFmtId="14" fontId="5" fillId="2" borderId="0" xfId="0" applyNumberFormat="1" applyFont="1" applyFill="1" applyAlignment="1">
      <alignment horizontal="center" vertical="center"/>
    </xf>
    <xf numFmtId="0" fontId="13" fillId="6" borderId="24" xfId="0" applyFont="1" applyFill="1" applyBorder="1" applyAlignment="1">
      <alignment horizontal="center" vertical="center"/>
    </xf>
    <xf numFmtId="41" fontId="13" fillId="6" borderId="24" xfId="1" applyFont="1" applyFill="1" applyBorder="1" applyAlignment="1">
      <alignment horizontal="center" vertical="center"/>
    </xf>
    <xf numFmtId="0" fontId="12" fillId="6" borderId="24" xfId="0" applyFont="1" applyFill="1" applyBorder="1" applyAlignment="1">
      <alignment horizontal="center" vertical="center"/>
    </xf>
    <xf numFmtId="41" fontId="3" fillId="6" borderId="35" xfId="1" applyFont="1" applyFill="1" applyBorder="1" applyAlignment="1">
      <alignment horizontal="center" vertical="center"/>
    </xf>
    <xf numFmtId="0" fontId="0" fillId="0" borderId="0" xfId="0" applyNumberFormat="1" applyFill="1"/>
    <xf numFmtId="0" fontId="5" fillId="2" borderId="0" xfId="0" applyFont="1" applyFill="1" applyAlignment="1">
      <alignment horizontal="left" vertical="center"/>
    </xf>
    <xf numFmtId="181" fontId="3" fillId="6" borderId="24" xfId="0" applyNumberFormat="1" applyFont="1" applyFill="1" applyBorder="1" applyAlignment="1">
      <alignment horizontal="center" vertical="center"/>
    </xf>
    <xf numFmtId="181" fontId="3" fillId="2" borderId="24" xfId="0" applyNumberFormat="1" applyFont="1" applyFill="1" applyBorder="1" applyAlignment="1">
      <alignment horizontal="center" vertical="center"/>
    </xf>
    <xf numFmtId="181" fontId="3" fillId="2" borderId="33" xfId="0" applyNumberFormat="1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41" fontId="16" fillId="2" borderId="0" xfId="1" applyFont="1" applyFill="1" applyAlignment="1">
      <alignment horizontal="center" vertical="center"/>
    </xf>
    <xf numFmtId="6" fontId="16" fillId="2" borderId="0" xfId="0" applyNumberFormat="1" applyFont="1" applyFill="1" applyAlignment="1">
      <alignment horizontal="center" vertical="center"/>
    </xf>
    <xf numFmtId="1" fontId="17" fillId="2" borderId="2" xfId="0" applyNumberFormat="1" applyFont="1" applyFill="1" applyBorder="1" applyAlignment="1">
      <alignment vertical="center"/>
    </xf>
    <xf numFmtId="0" fontId="17" fillId="2" borderId="2" xfId="0" applyNumberFormat="1" applyFont="1" applyFill="1" applyBorder="1" applyAlignment="1">
      <alignment horizontal="center" vertical="center"/>
    </xf>
    <xf numFmtId="0" fontId="17" fillId="2" borderId="2" xfId="0" applyNumberFormat="1" applyFont="1" applyFill="1" applyBorder="1" applyAlignment="1">
      <alignment vertical="center"/>
    </xf>
    <xf numFmtId="176" fontId="5" fillId="2" borderId="0" xfId="0" applyNumberFormat="1" applyFont="1" applyFill="1" applyBorder="1" applyAlignment="1">
      <alignment horizontal="center" vertical="center"/>
    </xf>
    <xf numFmtId="6" fontId="5" fillId="2" borderId="4" xfId="1" applyNumberFormat="1" applyFont="1" applyFill="1" applyBorder="1" applyAlignment="1" applyProtection="1">
      <alignment horizontal="center" vertical="center"/>
      <protection locked="0"/>
    </xf>
    <xf numFmtId="176" fontId="5" fillId="2" borderId="4" xfId="1" applyNumberFormat="1" applyFont="1" applyFill="1" applyBorder="1" applyAlignment="1" applyProtection="1">
      <alignment horizontal="center" vertical="center"/>
      <protection locked="0"/>
    </xf>
    <xf numFmtId="0" fontId="5" fillId="2" borderId="4" xfId="1" applyNumberFormat="1" applyFont="1" applyFill="1" applyBorder="1" applyAlignment="1" applyProtection="1">
      <alignment horizontal="center" vertical="center"/>
      <protection locked="0"/>
    </xf>
    <xf numFmtId="41" fontId="5" fillId="3" borderId="4" xfId="1" applyFont="1" applyFill="1" applyBorder="1" applyAlignment="1" applyProtection="1">
      <alignment horizontal="center" vertical="center"/>
      <protection locked="0"/>
    </xf>
    <xf numFmtId="41" fontId="5" fillId="2" borderId="0" xfId="1" applyFont="1" applyFill="1" applyBorder="1" applyAlignment="1" applyProtection="1">
      <alignment horizontal="center" vertical="center"/>
      <protection locked="0"/>
    </xf>
    <xf numFmtId="41" fontId="5" fillId="2" borderId="5" xfId="1" applyFont="1" applyFill="1" applyBorder="1" applyAlignment="1" applyProtection="1">
      <alignment horizontal="center" vertical="center"/>
      <protection locked="0"/>
    </xf>
    <xf numFmtId="182" fontId="9" fillId="2" borderId="2" xfId="0" applyNumberFormat="1" applyFont="1" applyFill="1" applyBorder="1" applyAlignment="1">
      <alignment horizontal="left" vertical="center"/>
    </xf>
    <xf numFmtId="182" fontId="13" fillId="6" borderId="24" xfId="0" applyNumberFormat="1" applyFont="1" applyFill="1" applyBorder="1" applyAlignment="1">
      <alignment horizontal="center" vertical="center"/>
    </xf>
    <xf numFmtId="182" fontId="3" fillId="2" borderId="24" xfId="0" applyNumberFormat="1" applyFont="1" applyFill="1" applyBorder="1" applyAlignment="1">
      <alignment horizontal="center" vertical="center"/>
    </xf>
    <xf numFmtId="182" fontId="3" fillId="2" borderId="33" xfId="0" applyNumberFormat="1" applyFont="1" applyFill="1" applyBorder="1" applyAlignment="1">
      <alignment horizontal="center" vertical="center"/>
    </xf>
    <xf numFmtId="182" fontId="0" fillId="2" borderId="24" xfId="0" applyNumberFormat="1" applyFill="1" applyBorder="1" applyAlignment="1">
      <alignment horizontal="center" vertical="center"/>
    </xf>
    <xf numFmtId="183" fontId="12" fillId="6" borderId="24" xfId="0" applyNumberFormat="1" applyFont="1" applyFill="1" applyBorder="1" applyAlignment="1">
      <alignment horizontal="center" vertical="center"/>
    </xf>
    <xf numFmtId="183" fontId="3" fillId="2" borderId="24" xfId="0" applyNumberFormat="1" applyFont="1" applyFill="1" applyBorder="1" applyAlignment="1">
      <alignment horizontal="center" vertical="center"/>
    </xf>
    <xf numFmtId="183" fontId="3" fillId="2" borderId="33" xfId="0" applyNumberFormat="1" applyFont="1" applyFill="1" applyBorder="1" applyAlignment="1">
      <alignment horizontal="center" vertical="center"/>
    </xf>
    <xf numFmtId="183" fontId="0" fillId="2" borderId="24" xfId="0" applyNumberFormat="1" applyFill="1" applyBorder="1" applyAlignment="1">
      <alignment horizontal="center" vertical="center"/>
    </xf>
    <xf numFmtId="0" fontId="5" fillId="2" borderId="4" xfId="0" applyFont="1" applyFill="1" applyBorder="1" applyAlignment="1" applyProtection="1">
      <alignment horizontal="center" vertical="center"/>
      <protection locked="0"/>
    </xf>
    <xf numFmtId="0" fontId="3" fillId="2" borderId="24" xfId="0" applyFont="1" applyFill="1" applyBorder="1" applyAlignment="1">
      <alignment horizontal="left" vertical="center"/>
    </xf>
    <xf numFmtId="0" fontId="3" fillId="2" borderId="33" xfId="0" applyFont="1" applyFill="1" applyBorder="1" applyAlignment="1">
      <alignment horizontal="left" vertical="center"/>
    </xf>
    <xf numFmtId="0" fontId="0" fillId="2" borderId="24" xfId="0" applyFill="1" applyBorder="1" applyAlignment="1">
      <alignment horizontal="left" vertical="center"/>
    </xf>
    <xf numFmtId="41" fontId="16" fillId="2" borderId="0" xfId="0" applyNumberFormat="1" applyFont="1" applyFill="1" applyBorder="1" applyAlignment="1">
      <alignment horizontal="center" vertical="center"/>
    </xf>
    <xf numFmtId="182" fontId="3" fillId="6" borderId="24" xfId="0" applyNumberFormat="1" applyFont="1" applyFill="1" applyBorder="1" applyAlignment="1">
      <alignment horizontal="center" vertical="center"/>
    </xf>
    <xf numFmtId="184" fontId="12" fillId="6" borderId="39" xfId="0" applyNumberFormat="1" applyFont="1" applyFill="1" applyBorder="1" applyAlignment="1">
      <alignment horizontal="center" vertical="center"/>
    </xf>
    <xf numFmtId="41" fontId="12" fillId="6" borderId="44" xfId="1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right" vertical="center"/>
    </xf>
    <xf numFmtId="0" fontId="3" fillId="6" borderId="39" xfId="0" applyFont="1" applyFill="1" applyBorder="1" applyAlignment="1">
      <alignment horizontal="center" vertical="center"/>
    </xf>
    <xf numFmtId="183" fontId="12" fillId="2" borderId="33" xfId="0" applyNumberFormat="1" applyFont="1" applyFill="1" applyBorder="1" applyAlignment="1">
      <alignment horizontal="center" vertical="center"/>
    </xf>
    <xf numFmtId="0" fontId="12" fillId="2" borderId="33" xfId="0" applyNumberFormat="1" applyFont="1" applyFill="1" applyBorder="1" applyAlignment="1">
      <alignment horizontal="center" vertical="center"/>
    </xf>
    <xf numFmtId="0" fontId="13" fillId="2" borderId="33" xfId="0" applyFont="1" applyFill="1" applyBorder="1" applyAlignment="1">
      <alignment horizontal="center" vertical="center"/>
    </xf>
    <xf numFmtId="41" fontId="13" fillId="2" borderId="33" xfId="1" applyFont="1" applyFill="1" applyBorder="1" applyAlignment="1">
      <alignment horizontal="center" vertical="center"/>
    </xf>
    <xf numFmtId="0" fontId="12" fillId="2" borderId="33" xfId="0" applyFont="1" applyFill="1" applyBorder="1" applyAlignment="1">
      <alignment horizontal="center" vertical="center"/>
    </xf>
    <xf numFmtId="41" fontId="13" fillId="2" borderId="26" xfId="1" applyFont="1" applyFill="1" applyBorder="1" applyAlignment="1">
      <alignment horizontal="center" vertical="center"/>
    </xf>
    <xf numFmtId="41" fontId="12" fillId="2" borderId="33" xfId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4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>
      <alignment horizontal="center" vertical="center"/>
    </xf>
    <xf numFmtId="0" fontId="5" fillId="2" borderId="23" xfId="0" applyFont="1" applyFill="1" applyBorder="1" applyAlignment="1" applyProtection="1">
      <alignment horizontal="center" vertical="center"/>
      <protection locked="0"/>
    </xf>
    <xf numFmtId="0" fontId="5" fillId="2" borderId="23" xfId="0" applyFont="1" applyFill="1" applyBorder="1" applyAlignment="1" applyProtection="1">
      <alignment horizontal="center" vertical="center" wrapText="1"/>
      <protection locked="0"/>
    </xf>
    <xf numFmtId="0" fontId="5" fillId="2" borderId="6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/>
    <xf numFmtId="0" fontId="0" fillId="2" borderId="0" xfId="0" applyFill="1" applyAlignment="1">
      <alignment horizontal="center"/>
    </xf>
    <xf numFmtId="0" fontId="19" fillId="2" borderId="0" xfId="0" applyFont="1" applyFill="1" applyAlignment="1">
      <alignment vertical="center"/>
    </xf>
    <xf numFmtId="0" fontId="18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5" borderId="39" xfId="0" applyFont="1" applyFill="1" applyBorder="1"/>
    <xf numFmtId="0" fontId="13" fillId="2" borderId="24" xfId="0" applyFont="1" applyFill="1" applyBorder="1"/>
    <xf numFmtId="0" fontId="19" fillId="2" borderId="0" xfId="0" applyFont="1" applyFill="1" applyBorder="1" applyAlignment="1">
      <alignment vertical="center"/>
    </xf>
    <xf numFmtId="185" fontId="18" fillId="2" borderId="0" xfId="0" applyNumberFormat="1" applyFont="1" applyFill="1" applyAlignment="1">
      <alignment horizontal="center" vertical="center"/>
    </xf>
    <xf numFmtId="0" fontId="18" fillId="6" borderId="24" xfId="0" applyFont="1" applyFill="1" applyBorder="1" applyAlignment="1">
      <alignment horizontal="center" vertical="center"/>
    </xf>
    <xf numFmtId="185" fontId="18" fillId="2" borderId="45" xfId="0" applyNumberFormat="1" applyFont="1" applyFill="1" applyBorder="1" applyAlignment="1">
      <alignment horizontal="center" vertical="center"/>
    </xf>
    <xf numFmtId="0" fontId="18" fillId="6" borderId="46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 wrapText="1"/>
    </xf>
    <xf numFmtId="0" fontId="10" fillId="2" borderId="16" xfId="0" applyFont="1" applyFill="1" applyBorder="1" applyAlignment="1">
      <alignment horizontal="center" vertical="center" wrapText="1"/>
    </xf>
    <xf numFmtId="41" fontId="5" fillId="2" borderId="15" xfId="1" applyFont="1" applyFill="1" applyBorder="1" applyAlignment="1" applyProtection="1">
      <alignment horizontal="center" vertical="center"/>
      <protection locked="0"/>
    </xf>
    <xf numFmtId="41" fontId="5" fillId="2" borderId="17" xfId="1" applyFont="1" applyFill="1" applyBorder="1" applyAlignment="1" applyProtection="1">
      <alignment horizontal="center" vertical="center"/>
      <protection locked="0"/>
    </xf>
    <xf numFmtId="41" fontId="5" fillId="2" borderId="16" xfId="1" applyFont="1" applyFill="1" applyBorder="1" applyAlignment="1" applyProtection="1">
      <alignment horizontal="center" vertical="center"/>
      <protection locked="0"/>
    </xf>
    <xf numFmtId="0" fontId="5" fillId="2" borderId="13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41" fontId="5" fillId="2" borderId="21" xfId="1" applyFont="1" applyFill="1" applyBorder="1" applyAlignment="1" applyProtection="1">
      <alignment horizontal="center" vertical="center"/>
      <protection locked="0"/>
    </xf>
    <xf numFmtId="41" fontId="5" fillId="2" borderId="22" xfId="1" applyFont="1" applyFill="1" applyBorder="1" applyAlignment="1" applyProtection="1">
      <alignment horizontal="center" vertical="center"/>
      <protection locked="0"/>
    </xf>
    <xf numFmtId="41" fontId="5" fillId="2" borderId="23" xfId="1" applyFont="1" applyFill="1" applyBorder="1" applyAlignment="1" applyProtection="1">
      <alignment horizontal="center" vertical="center"/>
      <protection locked="0"/>
    </xf>
    <xf numFmtId="0" fontId="5" fillId="2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15" xfId="0" applyFont="1" applyFill="1" applyBorder="1" applyAlignment="1" applyProtection="1">
      <alignment horizontal="center" vertical="center"/>
      <protection locked="0"/>
    </xf>
    <xf numFmtId="0" fontId="5" fillId="2" borderId="16" xfId="0" applyFont="1" applyFill="1" applyBorder="1" applyAlignment="1" applyProtection="1">
      <alignment horizontal="center" vertical="center"/>
      <protection locked="0"/>
    </xf>
    <xf numFmtId="0" fontId="10" fillId="2" borderId="18" xfId="0" applyFont="1" applyFill="1" applyBorder="1" applyAlignment="1">
      <alignment horizontal="center" vertical="center" textRotation="255"/>
    </xf>
    <xf numFmtId="0" fontId="10" fillId="2" borderId="19" xfId="0" applyFont="1" applyFill="1" applyBorder="1" applyAlignment="1">
      <alignment horizontal="center" vertical="center" textRotation="255"/>
    </xf>
    <xf numFmtId="0" fontId="10" fillId="2" borderId="20" xfId="0" applyFont="1" applyFill="1" applyBorder="1" applyAlignment="1">
      <alignment horizontal="center" vertical="center" textRotation="255"/>
    </xf>
    <xf numFmtId="0" fontId="5" fillId="2" borderId="0" xfId="0" applyFont="1" applyFill="1" applyBorder="1" applyAlignment="1" applyProtection="1">
      <alignment horizontal="left" vertical="center"/>
      <protection locked="0"/>
    </xf>
    <xf numFmtId="41" fontId="5" fillId="2" borderId="15" xfId="1" applyFont="1" applyFill="1" applyBorder="1" applyAlignment="1">
      <alignment horizontal="center" vertical="center"/>
    </xf>
    <xf numFmtId="41" fontId="5" fillId="2" borderId="17" xfId="1" applyFont="1" applyFill="1" applyBorder="1" applyAlignment="1">
      <alignment horizontal="center" vertical="center"/>
    </xf>
    <xf numFmtId="41" fontId="5" fillId="2" borderId="16" xfId="1" applyFont="1" applyFill="1" applyBorder="1" applyAlignment="1">
      <alignment horizontal="center" vertical="center"/>
    </xf>
    <xf numFmtId="0" fontId="5" fillId="2" borderId="17" xfId="0" applyFont="1" applyFill="1" applyBorder="1" applyAlignment="1" applyProtection="1">
      <alignment horizontal="center" vertical="center"/>
      <protection locked="0"/>
    </xf>
    <xf numFmtId="0" fontId="5" fillId="2" borderId="15" xfId="0" applyFont="1" applyFill="1" applyBorder="1" applyAlignment="1" applyProtection="1">
      <alignment horizontal="center" vertical="center" wrapText="1"/>
      <protection locked="0"/>
    </xf>
    <xf numFmtId="0" fontId="5" fillId="2" borderId="17" xfId="0" applyFont="1" applyFill="1" applyBorder="1" applyAlignment="1" applyProtection="1">
      <alignment horizontal="center" vertical="center" wrapText="1"/>
      <protection locked="0"/>
    </xf>
    <xf numFmtId="0" fontId="5" fillId="2" borderId="16" xfId="0" applyFont="1" applyFill="1" applyBorder="1" applyAlignment="1" applyProtection="1">
      <alignment horizontal="center" vertical="center" wrapText="1"/>
      <protection locked="0"/>
    </xf>
    <xf numFmtId="0" fontId="5" fillId="2" borderId="21" xfId="0" applyFont="1" applyFill="1" applyBorder="1" applyAlignment="1" applyProtection="1">
      <alignment horizontal="center" vertical="center"/>
      <protection locked="0"/>
    </xf>
    <xf numFmtId="0" fontId="5" fillId="2" borderId="22" xfId="0" applyFont="1" applyFill="1" applyBorder="1" applyAlignment="1" applyProtection="1">
      <alignment horizontal="center" vertical="center"/>
      <protection locked="0"/>
    </xf>
    <xf numFmtId="0" fontId="5" fillId="2" borderId="23" xfId="0" applyFont="1" applyFill="1" applyBorder="1" applyAlignment="1" applyProtection="1">
      <alignment horizontal="center" vertical="center"/>
      <protection locked="0"/>
    </xf>
    <xf numFmtId="0" fontId="5" fillId="2" borderId="4" xfId="0" applyFont="1" applyFill="1" applyBorder="1" applyAlignment="1" applyProtection="1">
      <alignment horizontal="center" vertical="center"/>
      <protection locked="0"/>
    </xf>
    <xf numFmtId="0" fontId="5" fillId="2" borderId="25" xfId="0" applyFont="1" applyFill="1" applyBorder="1" applyAlignment="1" applyProtection="1">
      <alignment horizontal="center" vertical="center"/>
      <protection locked="0"/>
    </xf>
    <xf numFmtId="0" fontId="5" fillId="2" borderId="21" xfId="0" applyFont="1" applyFill="1" applyBorder="1" applyAlignment="1" applyProtection="1">
      <alignment horizontal="center" vertical="center" wrapText="1"/>
      <protection locked="0"/>
    </xf>
    <xf numFmtId="0" fontId="5" fillId="2" borderId="22" xfId="0" applyFont="1" applyFill="1" applyBorder="1" applyAlignment="1" applyProtection="1">
      <alignment horizontal="center" vertical="center" wrapText="1"/>
      <protection locked="0"/>
    </xf>
    <xf numFmtId="0" fontId="5" fillId="2" borderId="23" xfId="0" applyFont="1" applyFill="1" applyBorder="1" applyAlignment="1" applyProtection="1">
      <alignment horizontal="center" vertical="center" wrapText="1"/>
      <protection locked="0"/>
    </xf>
    <xf numFmtId="0" fontId="8" fillId="2" borderId="25" xfId="0" applyFont="1" applyFill="1" applyBorder="1" applyAlignment="1">
      <alignment horizontal="center" vertical="center" textRotation="255"/>
    </xf>
    <xf numFmtId="0" fontId="8" fillId="2" borderId="4" xfId="0" applyFont="1" applyFill="1" applyBorder="1" applyAlignment="1">
      <alignment horizontal="center" vertical="center" textRotation="255"/>
    </xf>
    <xf numFmtId="0" fontId="8" fillId="2" borderId="25" xfId="0" applyFont="1" applyFill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 applyProtection="1">
      <alignment horizontal="center" vertical="center" wrapText="1"/>
      <protection locked="0"/>
    </xf>
    <xf numFmtId="41" fontId="5" fillId="2" borderId="21" xfId="1" applyFont="1" applyFill="1" applyBorder="1" applyAlignment="1">
      <alignment horizontal="center" vertical="center"/>
    </xf>
    <xf numFmtId="41" fontId="5" fillId="2" borderId="22" xfId="1" applyFont="1" applyFill="1" applyBorder="1" applyAlignment="1">
      <alignment horizontal="center" vertical="center"/>
    </xf>
    <xf numFmtId="41" fontId="5" fillId="2" borderId="23" xfId="1" applyFont="1" applyFill="1" applyBorder="1" applyAlignment="1">
      <alignment horizontal="center" vertical="center"/>
    </xf>
    <xf numFmtId="6" fontId="5" fillId="3" borderId="21" xfId="0" applyNumberFormat="1" applyFont="1" applyFill="1" applyBorder="1" applyAlignment="1">
      <alignment horizontal="right" vertical="center"/>
    </xf>
    <xf numFmtId="6" fontId="5" fillId="3" borderId="22" xfId="0" applyNumberFormat="1" applyFont="1" applyFill="1" applyBorder="1" applyAlignment="1">
      <alignment horizontal="right" vertical="center"/>
    </xf>
    <xf numFmtId="6" fontId="5" fillId="3" borderId="23" xfId="0" applyNumberFormat="1" applyFont="1" applyFill="1" applyBorder="1" applyAlignment="1">
      <alignment horizontal="right" vertical="center"/>
    </xf>
    <xf numFmtId="0" fontId="5" fillId="2" borderId="28" xfId="0" applyFont="1" applyFill="1" applyBorder="1" applyAlignment="1" applyProtection="1">
      <alignment horizontal="center" vertical="center"/>
      <protection locked="0"/>
    </xf>
    <xf numFmtId="0" fontId="5" fillId="2" borderId="29" xfId="0" applyFont="1" applyFill="1" applyBorder="1" applyAlignment="1" applyProtection="1">
      <alignment horizontal="center" vertical="center"/>
      <protection locked="0"/>
    </xf>
    <xf numFmtId="0" fontId="5" fillId="2" borderId="30" xfId="0" applyFont="1" applyFill="1" applyBorder="1" applyAlignment="1" applyProtection="1">
      <alignment horizontal="center" vertical="center"/>
      <protection locked="0"/>
    </xf>
    <xf numFmtId="0" fontId="5" fillId="2" borderId="31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5" fillId="2" borderId="3" xfId="0" applyFont="1" applyFill="1" applyBorder="1" applyAlignment="1" applyProtection="1">
      <alignment horizontal="center" vertical="center"/>
      <protection locked="0"/>
    </xf>
    <xf numFmtId="0" fontId="5" fillId="2" borderId="5" xfId="0" applyFont="1" applyFill="1" applyBorder="1" applyAlignment="1" applyProtection="1">
      <alignment horizontal="center" vertical="center"/>
      <protection locked="0"/>
    </xf>
    <xf numFmtId="0" fontId="5" fillId="2" borderId="2" xfId="0" applyFont="1" applyFill="1" applyBorder="1" applyAlignment="1" applyProtection="1">
      <alignment horizontal="center" vertical="center"/>
      <protection locked="0"/>
    </xf>
    <xf numFmtId="0" fontId="5" fillId="2" borderId="32" xfId="0" applyFont="1" applyFill="1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5" fillId="2" borderId="28" xfId="0" applyFont="1" applyFill="1" applyBorder="1" applyAlignment="1" applyProtection="1">
      <alignment horizontal="center" vertical="center" wrapText="1"/>
      <protection locked="0"/>
    </xf>
    <xf numFmtId="0" fontId="5" fillId="2" borderId="29" xfId="0" applyFont="1" applyFill="1" applyBorder="1" applyAlignment="1" applyProtection="1">
      <alignment horizontal="center" vertical="center" wrapText="1"/>
      <protection locked="0"/>
    </xf>
    <xf numFmtId="0" fontId="5" fillId="2" borderId="30" xfId="0" applyFont="1" applyFill="1" applyBorder="1" applyAlignment="1" applyProtection="1">
      <alignment horizontal="center" vertical="center" wrapText="1"/>
      <protection locked="0"/>
    </xf>
    <xf numFmtId="0" fontId="5" fillId="2" borderId="31" xfId="0" applyFont="1" applyFill="1" applyBorder="1" applyAlignment="1" applyProtection="1">
      <alignment horizontal="center" vertical="center" wrapText="1"/>
      <protection locked="0"/>
    </xf>
    <xf numFmtId="0" fontId="5" fillId="2" borderId="0" xfId="0" applyFont="1" applyFill="1" applyBorder="1" applyAlignment="1" applyProtection="1">
      <alignment horizontal="center" vertical="center" wrapText="1"/>
      <protection locked="0"/>
    </xf>
    <xf numFmtId="0" fontId="5" fillId="2" borderId="3" xfId="0" applyFont="1" applyFill="1" applyBorder="1" applyAlignment="1" applyProtection="1">
      <alignment horizontal="center" vertical="center" wrapText="1"/>
      <protection locked="0"/>
    </xf>
    <xf numFmtId="0" fontId="5" fillId="2" borderId="5" xfId="0" applyFont="1" applyFill="1" applyBorder="1" applyAlignment="1" applyProtection="1">
      <alignment horizontal="center" vertical="center" wrapText="1"/>
      <protection locked="0"/>
    </xf>
    <xf numFmtId="0" fontId="5" fillId="2" borderId="2" xfId="0" applyFont="1" applyFill="1" applyBorder="1" applyAlignment="1" applyProtection="1">
      <alignment horizontal="center" vertical="center" wrapText="1"/>
      <protection locked="0"/>
    </xf>
    <xf numFmtId="0" fontId="5" fillId="2" borderId="32" xfId="0" applyFont="1" applyFill="1" applyBorder="1" applyAlignment="1" applyProtection="1">
      <alignment horizontal="center" vertical="center" wrapText="1"/>
      <protection locked="0"/>
    </xf>
    <xf numFmtId="6" fontId="5" fillId="2" borderId="28" xfId="0" applyNumberFormat="1" applyFont="1" applyFill="1" applyBorder="1" applyAlignment="1" applyProtection="1">
      <alignment horizontal="center" vertical="center"/>
      <protection locked="0"/>
    </xf>
    <xf numFmtId="6" fontId="5" fillId="2" borderId="29" xfId="0" applyNumberFormat="1" applyFont="1" applyFill="1" applyBorder="1" applyAlignment="1" applyProtection="1">
      <alignment horizontal="center" vertical="center"/>
      <protection locked="0"/>
    </xf>
    <xf numFmtId="6" fontId="5" fillId="2" borderId="30" xfId="0" applyNumberFormat="1" applyFont="1" applyFill="1" applyBorder="1" applyAlignment="1" applyProtection="1">
      <alignment horizontal="center" vertical="center"/>
      <protection locked="0"/>
    </xf>
    <xf numFmtId="6" fontId="5" fillId="2" borderId="31" xfId="0" applyNumberFormat="1" applyFont="1" applyFill="1" applyBorder="1" applyAlignment="1" applyProtection="1">
      <alignment horizontal="center" vertical="center"/>
      <protection locked="0"/>
    </xf>
    <xf numFmtId="6" fontId="5" fillId="2" borderId="0" xfId="0" applyNumberFormat="1" applyFont="1" applyFill="1" applyBorder="1" applyAlignment="1" applyProtection="1">
      <alignment horizontal="center" vertical="center"/>
      <protection locked="0"/>
    </xf>
    <xf numFmtId="6" fontId="5" fillId="2" borderId="3" xfId="0" applyNumberFormat="1" applyFont="1" applyFill="1" applyBorder="1" applyAlignment="1" applyProtection="1">
      <alignment horizontal="center" vertical="center"/>
      <protection locked="0"/>
    </xf>
    <xf numFmtId="6" fontId="5" fillId="2" borderId="5" xfId="0" applyNumberFormat="1" applyFont="1" applyFill="1" applyBorder="1" applyAlignment="1" applyProtection="1">
      <alignment horizontal="center" vertical="center"/>
      <protection locked="0"/>
    </xf>
    <xf numFmtId="6" fontId="5" fillId="2" borderId="2" xfId="0" applyNumberFormat="1" applyFont="1" applyFill="1" applyBorder="1" applyAlignment="1" applyProtection="1">
      <alignment horizontal="center" vertical="center"/>
      <protection locked="0"/>
    </xf>
    <xf numFmtId="6" fontId="5" fillId="2" borderId="32" xfId="0" applyNumberFormat="1" applyFont="1" applyFill="1" applyBorder="1" applyAlignment="1" applyProtection="1">
      <alignment horizontal="center" vertical="center"/>
      <protection locked="0"/>
    </xf>
    <xf numFmtId="6" fontId="5" fillId="3" borderId="4" xfId="0" applyNumberFormat="1" applyFont="1" applyFill="1" applyBorder="1" applyAlignment="1">
      <alignment horizontal="right" vertical="center"/>
    </xf>
    <xf numFmtId="0" fontId="5" fillId="2" borderId="7" xfId="0" applyFont="1" applyFill="1" applyBorder="1" applyAlignment="1" applyProtection="1">
      <alignment horizontal="center" vertical="center" wrapText="1"/>
      <protection locked="0"/>
    </xf>
    <xf numFmtId="0" fontId="5" fillId="2" borderId="8" xfId="0" applyFont="1" applyFill="1" applyBorder="1" applyAlignment="1" applyProtection="1">
      <alignment horizontal="center" vertical="center" wrapText="1"/>
      <protection locked="0"/>
    </xf>
    <xf numFmtId="0" fontId="5" fillId="2" borderId="9" xfId="0" applyFont="1" applyFill="1" applyBorder="1" applyAlignment="1" applyProtection="1">
      <alignment horizontal="center" vertical="center" wrapText="1"/>
      <protection locked="0"/>
    </xf>
    <xf numFmtId="0" fontId="5" fillId="2" borderId="10" xfId="0" applyFont="1" applyFill="1" applyBorder="1" applyAlignment="1" applyProtection="1">
      <alignment horizontal="center" vertical="center" wrapText="1"/>
      <protection locked="0"/>
    </xf>
    <xf numFmtId="0" fontId="5" fillId="2" borderId="11" xfId="0" applyFont="1" applyFill="1" applyBorder="1" applyAlignment="1" applyProtection="1">
      <alignment horizontal="center" vertical="center" wrapText="1"/>
      <protection locked="0"/>
    </xf>
    <xf numFmtId="0" fontId="5" fillId="2" borderId="12" xfId="0" applyFont="1" applyFill="1" applyBorder="1" applyAlignment="1" applyProtection="1">
      <alignment horizontal="center" vertical="center" wrapText="1"/>
      <protection locked="0"/>
    </xf>
    <xf numFmtId="0" fontId="5" fillId="2" borderId="13" xfId="0" applyFont="1" applyFill="1" applyBorder="1" applyAlignment="1" applyProtection="1">
      <alignment horizontal="center" vertical="center" wrapText="1"/>
      <protection locked="0"/>
    </xf>
    <xf numFmtId="0" fontId="5" fillId="2" borderId="14" xfId="0" applyFont="1" applyFill="1" applyBorder="1" applyAlignment="1" applyProtection="1">
      <alignment horizontal="center" vertical="center" wrapText="1"/>
      <protection locked="0"/>
    </xf>
    <xf numFmtId="6" fontId="5" fillId="2" borderId="7" xfId="0" applyNumberFormat="1" applyFont="1" applyFill="1" applyBorder="1" applyAlignment="1" applyProtection="1">
      <alignment horizontal="center" vertical="center"/>
      <protection locked="0"/>
    </xf>
    <xf numFmtId="6" fontId="5" fillId="2" borderId="8" xfId="0" applyNumberFormat="1" applyFont="1" applyFill="1" applyBorder="1" applyAlignment="1" applyProtection="1">
      <alignment horizontal="center" vertical="center"/>
      <protection locked="0"/>
    </xf>
    <xf numFmtId="6" fontId="5" fillId="2" borderId="9" xfId="0" applyNumberFormat="1" applyFont="1" applyFill="1" applyBorder="1" applyAlignment="1" applyProtection="1">
      <alignment horizontal="center" vertical="center"/>
      <protection locked="0"/>
    </xf>
    <xf numFmtId="6" fontId="5" fillId="2" borderId="10" xfId="0" applyNumberFormat="1" applyFont="1" applyFill="1" applyBorder="1" applyAlignment="1" applyProtection="1">
      <alignment horizontal="center" vertical="center"/>
      <protection locked="0"/>
    </xf>
    <xf numFmtId="6" fontId="5" fillId="2" borderId="11" xfId="0" applyNumberFormat="1" applyFont="1" applyFill="1" applyBorder="1" applyAlignment="1" applyProtection="1">
      <alignment horizontal="center" vertical="center"/>
      <protection locked="0"/>
    </xf>
    <xf numFmtId="6" fontId="5" fillId="2" borderId="12" xfId="0" applyNumberFormat="1" applyFont="1" applyFill="1" applyBorder="1" applyAlignment="1" applyProtection="1">
      <alignment horizontal="center" vertical="center"/>
      <protection locked="0"/>
    </xf>
    <xf numFmtId="6" fontId="5" fillId="2" borderId="13" xfId="0" applyNumberFormat="1" applyFont="1" applyFill="1" applyBorder="1" applyAlignment="1" applyProtection="1">
      <alignment horizontal="center" vertical="center"/>
      <protection locked="0"/>
    </xf>
    <xf numFmtId="6" fontId="5" fillId="2" borderId="14" xfId="0" applyNumberFormat="1" applyFont="1" applyFill="1" applyBorder="1" applyAlignment="1" applyProtection="1">
      <alignment horizontal="center" vertical="center"/>
      <protection locked="0"/>
    </xf>
    <xf numFmtId="0" fontId="5" fillId="2" borderId="7" xfId="0" applyFont="1" applyFill="1" applyBorder="1" applyAlignment="1" applyProtection="1">
      <alignment horizontal="center" vertical="center"/>
      <protection locked="0"/>
    </xf>
    <xf numFmtId="0" fontId="5" fillId="2" borderId="8" xfId="0" applyFont="1" applyFill="1" applyBorder="1" applyAlignment="1" applyProtection="1">
      <alignment horizontal="center" vertical="center"/>
      <protection locked="0"/>
    </xf>
    <xf numFmtId="0" fontId="5" fillId="2" borderId="9" xfId="0" applyFont="1" applyFill="1" applyBorder="1" applyAlignment="1" applyProtection="1">
      <alignment horizontal="center" vertical="center"/>
      <protection locked="0"/>
    </xf>
    <xf numFmtId="0" fontId="5" fillId="2" borderId="10" xfId="0" applyFont="1" applyFill="1" applyBorder="1" applyAlignment="1" applyProtection="1">
      <alignment horizontal="center" vertical="center"/>
      <protection locked="0"/>
    </xf>
    <xf numFmtId="0" fontId="5" fillId="2" borderId="11" xfId="0" applyFont="1" applyFill="1" applyBorder="1" applyAlignment="1" applyProtection="1">
      <alignment horizontal="center" vertical="center"/>
      <protection locked="0"/>
    </xf>
    <xf numFmtId="0" fontId="5" fillId="2" borderId="12" xfId="0" applyFont="1" applyFill="1" applyBorder="1" applyAlignment="1" applyProtection="1">
      <alignment horizontal="center" vertical="center"/>
      <protection locked="0"/>
    </xf>
    <xf numFmtId="0" fontId="5" fillId="2" borderId="13" xfId="0" applyFont="1" applyFill="1" applyBorder="1" applyAlignment="1" applyProtection="1">
      <alignment horizontal="center" vertical="center"/>
      <protection locked="0"/>
    </xf>
    <xf numFmtId="0" fontId="5" fillId="2" borderId="14" xfId="0" applyFont="1" applyFill="1" applyBorder="1" applyAlignment="1" applyProtection="1">
      <alignment horizontal="center" vertical="center"/>
      <protection locked="0"/>
    </xf>
    <xf numFmtId="6" fontId="5" fillId="3" borderId="21" xfId="0" applyNumberFormat="1" applyFont="1" applyFill="1" applyBorder="1" applyAlignment="1">
      <alignment horizontal="center" vertical="center"/>
    </xf>
    <xf numFmtId="6" fontId="5" fillId="3" borderId="22" xfId="0" applyNumberFormat="1" applyFont="1" applyFill="1" applyBorder="1" applyAlignment="1">
      <alignment horizontal="center" vertical="center"/>
    </xf>
    <xf numFmtId="6" fontId="5" fillId="3" borderId="23" xfId="0" applyNumberFormat="1" applyFont="1" applyFill="1" applyBorder="1" applyAlignment="1">
      <alignment horizontal="center" vertical="center"/>
    </xf>
    <xf numFmtId="0" fontId="10" fillId="4" borderId="15" xfId="0" applyFont="1" applyFill="1" applyBorder="1" applyAlignment="1">
      <alignment horizontal="center" vertical="center"/>
    </xf>
    <xf numFmtId="0" fontId="10" fillId="4" borderId="17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6" fontId="5" fillId="4" borderId="15" xfId="1" applyNumberFormat="1" applyFont="1" applyFill="1" applyBorder="1" applyAlignment="1" applyProtection="1">
      <alignment horizontal="right" vertical="center"/>
      <protection locked="0"/>
    </xf>
    <xf numFmtId="6" fontId="5" fillId="4" borderId="17" xfId="1" applyNumberFormat="1" applyFont="1" applyFill="1" applyBorder="1" applyAlignment="1" applyProtection="1">
      <alignment horizontal="right" vertical="center"/>
      <protection locked="0"/>
    </xf>
    <xf numFmtId="6" fontId="5" fillId="4" borderId="16" xfId="1" applyNumberFormat="1" applyFont="1" applyFill="1" applyBorder="1" applyAlignment="1" applyProtection="1">
      <alignment horizontal="right" vertical="center"/>
      <protection locked="0"/>
    </xf>
    <xf numFmtId="0" fontId="9" fillId="2" borderId="0" xfId="0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6" fontId="5" fillId="4" borderId="15" xfId="1" applyNumberFormat="1" applyFont="1" applyFill="1" applyBorder="1" applyAlignment="1">
      <alignment horizontal="right" vertical="center"/>
    </xf>
    <xf numFmtId="6" fontId="5" fillId="4" borderId="17" xfId="1" applyNumberFormat="1" applyFont="1" applyFill="1" applyBorder="1" applyAlignment="1">
      <alignment horizontal="right" vertical="center"/>
    </xf>
    <xf numFmtId="6" fontId="5" fillId="4" borderId="16" xfId="1" applyNumberFormat="1" applyFont="1" applyFill="1" applyBorder="1" applyAlignment="1">
      <alignment horizontal="right" vertical="center"/>
    </xf>
    <xf numFmtId="6" fontId="5" fillId="4" borderId="15" xfId="0" applyNumberFormat="1" applyFont="1" applyFill="1" applyBorder="1" applyAlignment="1">
      <alignment horizontal="center" vertical="center"/>
    </xf>
    <xf numFmtId="6" fontId="5" fillId="4" borderId="17" xfId="0" applyNumberFormat="1" applyFont="1" applyFill="1" applyBorder="1" applyAlignment="1">
      <alignment horizontal="center" vertical="center"/>
    </xf>
    <xf numFmtId="6" fontId="5" fillId="4" borderId="16" xfId="0" applyNumberFormat="1" applyFont="1" applyFill="1" applyBorder="1" applyAlignment="1">
      <alignment horizontal="center" vertical="center"/>
    </xf>
    <xf numFmtId="31" fontId="10" fillId="2" borderId="13" xfId="0" applyNumberFormat="1" applyFont="1" applyFill="1" applyBorder="1" applyAlignment="1">
      <alignment horizontal="right" vertical="center" indent="1"/>
    </xf>
    <xf numFmtId="31" fontId="10" fillId="2" borderId="14" xfId="0" applyNumberFormat="1" applyFont="1" applyFill="1" applyBorder="1" applyAlignment="1">
      <alignment horizontal="right" vertical="center" indent="1"/>
    </xf>
    <xf numFmtId="0" fontId="18" fillId="6" borderId="46" xfId="0" applyFont="1" applyFill="1" applyBorder="1" applyAlignment="1">
      <alignment horizontal="center" vertical="center"/>
    </xf>
    <xf numFmtId="0" fontId="0" fillId="2" borderId="45" xfId="0" applyFill="1" applyBorder="1" applyAlignment="1">
      <alignment horizontal="left" vertical="center"/>
    </xf>
  </cellXfs>
  <cellStyles count="2">
    <cellStyle name="쉼표 [0]" xfId="1" builtinId="6"/>
    <cellStyle name="표준" xfId="0" builtinId="0"/>
  </cellStyles>
  <dxfs count="2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algun Gothic"/>
        <family val="2"/>
        <charset val="129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algun Gothic"/>
        <family val="2"/>
        <charset val="129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129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129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129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algun Gothic"/>
        <family val="2"/>
        <charset val="129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129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129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algun Gothic"/>
        <family val="2"/>
        <charset val="129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algun Gothic"/>
        <family val="2"/>
        <charset val="129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algun Gothic"/>
        <family val="2"/>
        <charset val="129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81" formatCode="yyyy&quot;-&quot;m&quot;-&quot;d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82" formatCode="&quot;T&quot;0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algun Gothic"/>
        <family val="2"/>
        <charset val="129"/>
        <scheme val="none"/>
      </font>
      <numFmt numFmtId="183" formatCode="&quot;R&quot;000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129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83" formatCode="&quot;R&quot;000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83" formatCode="&quot;R&quot;000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83" formatCode="&quot;R&quot;000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83" formatCode="&quot;R&quot;000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83" formatCode="&quot;R&quot;000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83" formatCode="&quot;R&quot;000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83" formatCode="&quot;R&quot;000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83" formatCode="&quot;R&quot;000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83" formatCode="&quot;R&quot;000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83" formatCode="&quot;R&quot;000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81" formatCode="yyyy&quot;-&quot;m&quot;-&quot;d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83" formatCode="&quot;R&quot;000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82" formatCode="&quot;T&quot;0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8"/>
        </right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6" formatCode="0_);[Red]\(0\)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algun Gothic"/>
        <family val="2"/>
        <charset val="129"/>
        <scheme val="none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2" formatCode="_(&quot;₩&quot;* #,##0_);_(&quot;₩&quot;* \(#,##0\);_(&quot;₩&quot;* &quot;-&quot;_);_(@_)"/>
    </dxf>
    <dxf>
      <numFmt numFmtId="32" formatCode="_(&quot;₩&quot;* #,##0_);_(&quot;₩&quot;* \(#,##0\);_(&quot;₩&quot;* &quot;-&quot;_);_(@_)"/>
    </dxf>
    <dxf>
      <numFmt numFmtId="32" formatCode="_(&quot;₩&quot;* #,##0_);_(&quot;₩&quot;* \(#,##0\);_(&quot;₩&quot;* &quot;-&quot;_);_(@_)"/>
    </dxf>
    <dxf>
      <numFmt numFmtId="32" formatCode="_(&quot;₩&quot;* #,##0_);_(&quot;₩&quot;* \(#,##0\);_(&quot;₩&quot;* &quot;-&quot;_);_(@_)"/>
    </dxf>
    <dxf>
      <numFmt numFmtId="179" formatCode="#,##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2" formatCode="_(&quot;₩&quot;* #,##0_);_(&quot;₩&quot;* \(#,##0\);_(&quot;₩&quot;* &quot;-&quot;_);_(@_)"/>
    </dxf>
    <dxf>
      <numFmt numFmtId="32" formatCode="_(&quot;₩&quot;* #,##0_);_(&quot;₩&quot;* \(#,##0\);_(&quot;₩&quot;* &quot;-&quot;_);_(@_)"/>
    </dxf>
    <dxf>
      <numFmt numFmtId="32" formatCode="_(&quot;₩&quot;* #,##0_);_(&quot;₩&quot;* \(#,##0\);_(&quot;₩&quot;* &quot;-&quot;_);_(@_)"/>
    </dxf>
    <dxf>
      <numFmt numFmtId="32" formatCode="_(&quot;₩&quot;* #,##0_);_(&quot;₩&quot;* \(#,##0\);_(&quot;₩&quot;* &quot;-&quot;_);_(@_)"/>
    </dxf>
    <dxf>
      <numFmt numFmtId="179" formatCode="#,##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2" formatCode="_(&quot;₩&quot;* #,##0_);_(&quot;₩&quot;* \(#,##0\);_(&quot;₩&quot;* &quot;-&quot;_);_(@_)"/>
    </dxf>
    <dxf>
      <numFmt numFmtId="32" formatCode="_(&quot;₩&quot;* #,##0_);_(&quot;₩&quot;* \(#,##0\);_(&quot;₩&quot;* &quot;-&quot;_);_(@_)"/>
    </dxf>
    <dxf>
      <numFmt numFmtId="32" formatCode="_(&quot;₩&quot;* #,##0_);_(&quot;₩&quot;* \(#,##0\);_(&quot;₩&quot;* &quot;-&quot;_);_(@_)"/>
    </dxf>
    <dxf>
      <numFmt numFmtId="32" formatCode="_(&quot;₩&quot;* #,##0_);_(&quot;₩&quot;* \(#,##0\);_(&quot;₩&quot;* &quot;-&quot;_);_(@_)"/>
    </dxf>
    <dxf>
      <numFmt numFmtId="179" formatCode="#,##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2" formatCode="_(&quot;₩&quot;* #,##0_);_(&quot;₩&quot;* \(#,##0\);_(&quot;₩&quot;* &quot;-&quot;_);_(@_)"/>
    </dxf>
    <dxf>
      <numFmt numFmtId="32" formatCode="_(&quot;₩&quot;* #,##0_);_(&quot;₩&quot;* \(#,##0\);_(&quot;₩&quot;* &quot;-&quot;_);_(@_)"/>
    </dxf>
    <dxf>
      <numFmt numFmtId="32" formatCode="_(&quot;₩&quot;* #,##0_);_(&quot;₩&quot;* \(#,##0\);_(&quot;₩&quot;* &quot;-&quot;_);_(@_)"/>
    </dxf>
    <dxf>
      <numFmt numFmtId="32" formatCode="_(&quot;₩&quot;* #,##0_);_(&quot;₩&quot;* \(#,##0\);_(&quot;₩&quot;* &quot;-&quot;_);_(@_)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1</xdr:row>
      <xdr:rowOff>0</xdr:rowOff>
    </xdr:from>
    <xdr:to>
      <xdr:col>21</xdr:col>
      <xdr:colOff>0</xdr:colOff>
      <xdr:row>3</xdr:row>
      <xdr:rowOff>0</xdr:rowOff>
    </xdr:to>
    <xdr:sp macro="[0]!data_save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A2BAAE5C-6537-FB41-9C9A-7AF687664968}"/>
            </a:ext>
          </a:extLst>
        </xdr:cNvPr>
        <xdr:cNvSpPr/>
      </xdr:nvSpPr>
      <xdr:spPr>
        <a:xfrm>
          <a:off x="10823097" y="258496"/>
          <a:ext cx="1640885" cy="516991"/>
        </a:xfrm>
        <a:prstGeom prst="roundRect">
          <a:avLst/>
        </a:prstGeom>
        <a:solidFill>
          <a:schemeClr val="accent1"/>
        </a:solidFill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저장하기</a:t>
          </a:r>
        </a:p>
      </xdr:txBody>
    </xdr:sp>
    <xdr:clientData/>
  </xdr:twoCellAnchor>
  <xdr:twoCellAnchor>
    <xdr:from>
      <xdr:col>19</xdr:col>
      <xdr:colOff>0</xdr:colOff>
      <xdr:row>6</xdr:row>
      <xdr:rowOff>0</xdr:rowOff>
    </xdr:from>
    <xdr:to>
      <xdr:col>21</xdr:col>
      <xdr:colOff>0</xdr:colOff>
      <xdr:row>7</xdr:row>
      <xdr:rowOff>254000</xdr:rowOff>
    </xdr:to>
    <xdr:sp macro="[0]!data_load" textlink="">
      <xdr:nvSpPr>
        <xdr:cNvPr id="5" name="모서리가 둥근 직사각형 4">
          <a:extLst>
            <a:ext uri="{FF2B5EF4-FFF2-40B4-BE49-F238E27FC236}">
              <a16:creationId xmlns:a16="http://schemas.microsoft.com/office/drawing/2014/main" id="{455721E5-9476-AE41-89D1-506EA05C0544}"/>
            </a:ext>
          </a:extLst>
        </xdr:cNvPr>
        <xdr:cNvSpPr/>
      </xdr:nvSpPr>
      <xdr:spPr>
        <a:xfrm>
          <a:off x="10858500" y="1524000"/>
          <a:ext cx="1651000" cy="50800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불러오기</a:t>
          </a:r>
        </a:p>
      </xdr:txBody>
    </xdr:sp>
    <xdr:clientData/>
  </xdr:twoCellAnchor>
  <xdr:twoCellAnchor>
    <xdr:from>
      <xdr:col>22</xdr:col>
      <xdr:colOff>0</xdr:colOff>
      <xdr:row>6</xdr:row>
      <xdr:rowOff>0</xdr:rowOff>
    </xdr:from>
    <xdr:to>
      <xdr:col>22</xdr:col>
      <xdr:colOff>792000</xdr:colOff>
      <xdr:row>7</xdr:row>
      <xdr:rowOff>254000</xdr:rowOff>
    </xdr:to>
    <xdr:sp macro="[0]!data_prev" textlink="">
      <xdr:nvSpPr>
        <xdr:cNvPr id="6" name="모서리가 둥근 직사각형 5">
          <a:extLst>
            <a:ext uri="{FF2B5EF4-FFF2-40B4-BE49-F238E27FC236}">
              <a16:creationId xmlns:a16="http://schemas.microsoft.com/office/drawing/2014/main" id="{A459C5E1-8C1A-2145-8835-3128A8816842}"/>
            </a:ext>
          </a:extLst>
        </xdr:cNvPr>
        <xdr:cNvSpPr/>
      </xdr:nvSpPr>
      <xdr:spPr>
        <a:xfrm>
          <a:off x="12585700" y="1524000"/>
          <a:ext cx="792000" cy="50800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이전</a:t>
          </a:r>
        </a:p>
      </xdr:txBody>
    </xdr:sp>
    <xdr:clientData/>
  </xdr:twoCellAnchor>
  <xdr:twoCellAnchor>
    <xdr:from>
      <xdr:col>23</xdr:col>
      <xdr:colOff>44956</xdr:colOff>
      <xdr:row>6</xdr:row>
      <xdr:rowOff>0</xdr:rowOff>
    </xdr:from>
    <xdr:to>
      <xdr:col>24</xdr:col>
      <xdr:colOff>16514</xdr:colOff>
      <xdr:row>7</xdr:row>
      <xdr:rowOff>254000</xdr:rowOff>
    </xdr:to>
    <xdr:sp macro="[0]!data_next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67F942C1-A932-E24F-BBC4-6DC2BE8B07D4}"/>
            </a:ext>
          </a:extLst>
        </xdr:cNvPr>
        <xdr:cNvSpPr/>
      </xdr:nvSpPr>
      <xdr:spPr>
        <a:xfrm>
          <a:off x="13456156" y="1524000"/>
          <a:ext cx="797058" cy="50800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다음</a:t>
          </a:r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24</xdr:col>
      <xdr:colOff>0</xdr:colOff>
      <xdr:row>3</xdr:row>
      <xdr:rowOff>0</xdr:rowOff>
    </xdr:to>
    <xdr:sp macro="[0]!data_new" textlink="">
      <xdr:nvSpPr>
        <xdr:cNvPr id="10" name="모서리가 둥근 직사각형 9">
          <a:extLst>
            <a:ext uri="{FF2B5EF4-FFF2-40B4-BE49-F238E27FC236}">
              <a16:creationId xmlns:a16="http://schemas.microsoft.com/office/drawing/2014/main" id="{7A9E1870-CB13-914C-A927-1917DED4BCF2}"/>
            </a:ext>
          </a:extLst>
        </xdr:cNvPr>
        <xdr:cNvSpPr/>
      </xdr:nvSpPr>
      <xdr:spPr>
        <a:xfrm>
          <a:off x="12677522" y="258496"/>
          <a:ext cx="1640885" cy="516991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새로작성</a:t>
          </a:r>
          <a:endParaRPr lang="en-US" altLang="ko-K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0</xdr:colOff>
      <xdr:row>3</xdr:row>
      <xdr:rowOff>190500</xdr:rowOff>
    </xdr:from>
    <xdr:to>
      <xdr:col>21</xdr:col>
      <xdr:colOff>0</xdr:colOff>
      <xdr:row>5</xdr:row>
      <xdr:rowOff>190500</xdr:rowOff>
    </xdr:to>
    <xdr:sp macro="[0]!Data_Edit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D146755E-BEAE-2442-B0F6-4FE8A4B1741E}"/>
            </a:ext>
          </a:extLst>
        </xdr:cNvPr>
        <xdr:cNvSpPr/>
      </xdr:nvSpPr>
      <xdr:spPr>
        <a:xfrm>
          <a:off x="10858500" y="952500"/>
          <a:ext cx="1651000" cy="50800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수정하기</a:t>
          </a:r>
        </a:p>
      </xdr:txBody>
    </xdr:sp>
    <xdr:clientData/>
  </xdr:twoCellAnchor>
  <xdr:twoCellAnchor>
    <xdr:from>
      <xdr:col>22</xdr:col>
      <xdr:colOff>0</xdr:colOff>
      <xdr:row>3</xdr:row>
      <xdr:rowOff>190500</xdr:rowOff>
    </xdr:from>
    <xdr:to>
      <xdr:col>24</xdr:col>
      <xdr:colOff>0</xdr:colOff>
      <xdr:row>5</xdr:row>
      <xdr:rowOff>190500</xdr:rowOff>
    </xdr:to>
    <xdr:sp macro="[0]!Data_Delete" textlink="">
      <xdr:nvSpPr>
        <xdr:cNvPr id="12" name="모서리가 둥근 직사각형 11">
          <a:extLst>
            <a:ext uri="{FF2B5EF4-FFF2-40B4-BE49-F238E27FC236}">
              <a16:creationId xmlns:a16="http://schemas.microsoft.com/office/drawing/2014/main" id="{0473F694-2D53-BF41-8792-B5D51B7C568B}"/>
            </a:ext>
          </a:extLst>
        </xdr:cNvPr>
        <xdr:cNvSpPr/>
      </xdr:nvSpPr>
      <xdr:spPr>
        <a:xfrm>
          <a:off x="12585700" y="952500"/>
          <a:ext cx="1651000" cy="50800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삭제하기</a:t>
          </a:r>
          <a:endParaRPr lang="en-US" altLang="ko-K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56885</xdr:colOff>
      <xdr:row>10</xdr:row>
      <xdr:rowOff>0</xdr:rowOff>
    </xdr:from>
    <xdr:to>
      <xdr:col>24</xdr:col>
      <xdr:colOff>0</xdr:colOff>
      <xdr:row>12</xdr:row>
      <xdr:rowOff>0</xdr:rowOff>
    </xdr:to>
    <xdr:sp macro="[0]!Data_Reset" textlink="">
      <xdr:nvSpPr>
        <xdr:cNvPr id="9" name="모서리가 둥근 직사각형 8">
          <a:extLst>
            <a:ext uri="{FF2B5EF4-FFF2-40B4-BE49-F238E27FC236}">
              <a16:creationId xmlns:a16="http://schemas.microsoft.com/office/drawing/2014/main" id="{635E6666-437A-3E4B-B0AA-25F26FCA8F1E}"/>
            </a:ext>
          </a:extLst>
        </xdr:cNvPr>
        <xdr:cNvSpPr/>
      </xdr:nvSpPr>
      <xdr:spPr>
        <a:xfrm>
          <a:off x="12642585" y="3048000"/>
          <a:ext cx="1594115" cy="50800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데이터 초기화</a:t>
          </a:r>
          <a:endParaRPr lang="en-US" altLang="ko-K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0</xdr:colOff>
      <xdr:row>8</xdr:row>
      <xdr:rowOff>0</xdr:rowOff>
    </xdr:from>
    <xdr:to>
      <xdr:col>21</xdr:col>
      <xdr:colOff>0</xdr:colOff>
      <xdr:row>9</xdr:row>
      <xdr:rowOff>0</xdr:rowOff>
    </xdr:to>
    <xdr:sp macro="[0]!Update_Pivot" textlink="">
      <xdr:nvSpPr>
        <xdr:cNvPr id="15" name="모서리가 둥근 직사각형 14">
          <a:extLst>
            <a:ext uri="{FF2B5EF4-FFF2-40B4-BE49-F238E27FC236}">
              <a16:creationId xmlns:a16="http://schemas.microsoft.com/office/drawing/2014/main" id="{D8B49F0E-47F9-D54E-9D21-BA0CDB86D843}"/>
            </a:ext>
          </a:extLst>
        </xdr:cNvPr>
        <xdr:cNvSpPr/>
      </xdr:nvSpPr>
      <xdr:spPr>
        <a:xfrm>
          <a:off x="10858500" y="2286000"/>
          <a:ext cx="1651000" cy="508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새로고침</a:t>
          </a:r>
        </a:p>
      </xdr:txBody>
    </xdr:sp>
    <xdr:clientData/>
  </xdr:twoCellAnchor>
  <xdr:twoCellAnchor>
    <xdr:from>
      <xdr:col>6</xdr:col>
      <xdr:colOff>444500</xdr:colOff>
      <xdr:row>3</xdr:row>
      <xdr:rowOff>228600</xdr:rowOff>
    </xdr:from>
    <xdr:to>
      <xdr:col>12</xdr:col>
      <xdr:colOff>673100</xdr:colOff>
      <xdr:row>4</xdr:row>
      <xdr:rowOff>50800</xdr:rowOff>
    </xdr:to>
    <xdr:grpSp>
      <xdr:nvGrpSpPr>
        <xdr:cNvPr id="11" name="그룹 10">
          <a:extLst>
            <a:ext uri="{FF2B5EF4-FFF2-40B4-BE49-F238E27FC236}">
              <a16:creationId xmlns:a16="http://schemas.microsoft.com/office/drawing/2014/main" id="{D94FAAB0-E0E4-6846-BEF1-6FC182AC3D92}"/>
            </a:ext>
          </a:extLst>
        </xdr:cNvPr>
        <xdr:cNvGrpSpPr/>
      </xdr:nvGrpSpPr>
      <xdr:grpSpPr>
        <a:xfrm>
          <a:off x="3530600" y="990600"/>
          <a:ext cx="3975100" cy="76200"/>
          <a:chOff x="3530600" y="990600"/>
          <a:chExt cx="3975100" cy="76200"/>
        </a:xfrm>
      </xdr:grpSpPr>
      <xdr:cxnSp macro="">
        <xdr:nvCxnSpPr>
          <xdr:cNvPr id="4" name="직선 연결선[R] 3">
            <a:extLst>
              <a:ext uri="{FF2B5EF4-FFF2-40B4-BE49-F238E27FC236}">
                <a16:creationId xmlns:a16="http://schemas.microsoft.com/office/drawing/2014/main" id="{52213A6C-C6BC-DD4B-8C2B-6DEECE9C0063}"/>
              </a:ext>
            </a:extLst>
          </xdr:cNvPr>
          <xdr:cNvCxnSpPr/>
        </xdr:nvCxnSpPr>
        <xdr:spPr>
          <a:xfrm>
            <a:off x="3530600" y="990600"/>
            <a:ext cx="3975100" cy="0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직선 연결선[R] 17">
            <a:extLst>
              <a:ext uri="{FF2B5EF4-FFF2-40B4-BE49-F238E27FC236}">
                <a16:creationId xmlns:a16="http://schemas.microsoft.com/office/drawing/2014/main" id="{B808E21D-9A32-8541-A2BF-74AAA1599CF4}"/>
              </a:ext>
            </a:extLst>
          </xdr:cNvPr>
          <xdr:cNvCxnSpPr/>
        </xdr:nvCxnSpPr>
        <xdr:spPr>
          <a:xfrm>
            <a:off x="3530600" y="1066800"/>
            <a:ext cx="3975100" cy="0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685416</xdr:colOff>
      <xdr:row>33</xdr:row>
      <xdr:rowOff>232834</xdr:rowOff>
    </xdr:from>
    <xdr:to>
      <xdr:col>12</xdr:col>
      <xdr:colOff>550719</xdr:colOff>
      <xdr:row>34</xdr:row>
      <xdr:rowOff>55034</xdr:rowOff>
    </xdr:to>
    <xdr:grpSp>
      <xdr:nvGrpSpPr>
        <xdr:cNvPr id="20" name="그룹 19">
          <a:extLst>
            <a:ext uri="{FF2B5EF4-FFF2-40B4-BE49-F238E27FC236}">
              <a16:creationId xmlns:a16="http://schemas.microsoft.com/office/drawing/2014/main" id="{7C152F1F-B963-0F43-8D25-B523224FBA5A}"/>
            </a:ext>
          </a:extLst>
        </xdr:cNvPr>
        <xdr:cNvGrpSpPr/>
      </xdr:nvGrpSpPr>
      <xdr:grpSpPr>
        <a:xfrm>
          <a:off x="3771516" y="8868834"/>
          <a:ext cx="3611803" cy="76200"/>
          <a:chOff x="3770240" y="990600"/>
          <a:chExt cx="3613727" cy="76200"/>
        </a:xfrm>
      </xdr:grpSpPr>
      <xdr:cxnSp macro="">
        <xdr:nvCxnSpPr>
          <xdr:cNvPr id="21" name="직선 연결선[R] 20">
            <a:extLst>
              <a:ext uri="{FF2B5EF4-FFF2-40B4-BE49-F238E27FC236}">
                <a16:creationId xmlns:a16="http://schemas.microsoft.com/office/drawing/2014/main" id="{1A3BD5F8-C7CF-2C4B-B722-988E749E8877}"/>
              </a:ext>
            </a:extLst>
          </xdr:cNvPr>
          <xdr:cNvCxnSpPr/>
        </xdr:nvCxnSpPr>
        <xdr:spPr>
          <a:xfrm>
            <a:off x="3770240" y="990600"/>
            <a:ext cx="3613727" cy="0"/>
          </a:xfrm>
          <a:prstGeom prst="line">
            <a:avLst/>
          </a:prstGeom>
          <a:ln w="19050">
            <a:solidFill>
              <a:srgbClr val="C00000"/>
            </a:solidFill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2" name="직선 연결선[R] 21">
            <a:extLst>
              <a:ext uri="{FF2B5EF4-FFF2-40B4-BE49-F238E27FC236}">
                <a16:creationId xmlns:a16="http://schemas.microsoft.com/office/drawing/2014/main" id="{028DAE38-94A2-564B-844C-AC384E77C276}"/>
              </a:ext>
            </a:extLst>
          </xdr:cNvPr>
          <xdr:cNvCxnSpPr/>
        </xdr:nvCxnSpPr>
        <xdr:spPr>
          <a:xfrm>
            <a:off x="3770240" y="1066800"/>
            <a:ext cx="3613727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nhyun park" refreshedDate="43298.284394560185" createdVersion="6" refreshedVersion="6" minRefreshableVersion="3" recordCount="80" xr:uid="{7038FE03-C08B-8244-AC9D-46AA25B6B6BC}">
  <cacheSource type="worksheet">
    <worksheetSource name="상세데이터"/>
  </cacheSource>
  <cacheFields count="17">
    <cacheField name="참조번호" numFmtId="183">
      <sharedItems containsNonDate="0" containsString="0" containsBlank="1"/>
    </cacheField>
    <cacheField name="거래명세서 번호" numFmtId="182">
      <sharedItems containsNonDate="0" containsString="0" containsBlank="1"/>
    </cacheField>
    <cacheField name="거래일시" numFmtId="181">
      <sharedItems containsNonDate="0" containsDate="1" containsString="0" containsBlank="1" minDate="2018-06-01T00:00:00" maxDate="2018-06-06T00:00:00" count="4">
        <m/>
        <d v="2018-06-01T00:00:00" u="1"/>
        <d v="2018-06-02T00:00:00" u="1"/>
        <d v="2018-06-05T00:00:00" u="1"/>
      </sharedItems>
    </cacheField>
    <cacheField name="분기" numFmtId="1">
      <sharedItems containsNonDate="0" containsBlank="1" count="3">
        <m/>
        <s v="2Q" u="1"/>
        <s v="분기" u="1"/>
      </sharedItems>
    </cacheField>
    <cacheField name="년" numFmtId="0">
      <sharedItems containsNonDate="0" containsString="0" containsBlank="1"/>
    </cacheField>
    <cacheField name="월" numFmtId="0">
      <sharedItems containsNonDate="0" containsString="0" containsBlank="1" containsNumber="1" containsInteger="1" minValue="6" maxValue="6" count="2">
        <m/>
        <n v="6" u="1"/>
      </sharedItems>
    </cacheField>
    <cacheField name="일" numFmtId="0">
      <sharedItems containsNonDate="0" containsString="0" containsBlank="1"/>
    </cacheField>
    <cacheField name="상호" numFmtId="0">
      <sharedItems containsNonDate="0" containsBlank="1" count="11">
        <m/>
        <s v="(주)대한바이오링크" u="1"/>
        <s v="(주) 정도비앤피" u="1"/>
        <s v="(주)대도산전" u="1"/>
        <s v="(주)세기비즈" u="1"/>
        <s v="(주)아이맥인더스트리" u="1"/>
        <s v="(주)메가엠코리아" u="1"/>
        <s v="(주)부가테크놀로지" u="1"/>
        <s v="(주)래치원" u="1"/>
        <s v="(주)금성계전" u="1"/>
        <s v="[폐업](주)에이치케이기업" u="1"/>
      </sharedItems>
    </cacheField>
    <cacheField name="품목" numFmtId="0">
      <sharedItems containsNonDate="0" containsBlank="1" count="8">
        <m/>
        <s v="GRP Box" u="1"/>
        <s v="Steel Mounting Plates" u="1"/>
        <s v="Screen" u="1"/>
        <s v="Aluminum Box" u="1"/>
        <s v="Plastic Mounting Plates" u="1"/>
        <s v="Plastic Box" u="1"/>
        <s v="Bracket" u="1"/>
      </sharedItems>
    </cacheField>
    <cacheField name="규격" numFmtId="0">
      <sharedItems containsNonDate="0" containsString="0" containsBlank="1" containsNumber="1" containsInteger="1" minValue="123" maxValue="123" count="2">
        <m/>
        <n v="123" u="1"/>
      </sharedItems>
    </cacheField>
    <cacheField name="수량" numFmtId="41">
      <sharedItems containsNonDate="0" containsString="0" containsBlank="1"/>
    </cacheField>
    <cacheField name="단위" numFmtId="0">
      <sharedItems containsNonDate="0" containsString="0" containsBlank="1"/>
    </cacheField>
    <cacheField name="단가" numFmtId="41">
      <sharedItems containsNonDate="0" containsString="0" containsBlank="1"/>
    </cacheField>
    <cacheField name="공급가액" numFmtId="41">
      <sharedItems containsNonDate="0" containsString="0" containsBlank="1"/>
    </cacheField>
    <cacheField name="세액" numFmtId="41">
      <sharedItems containsNonDate="0" containsString="0" containsBlank="1"/>
    </cacheField>
    <cacheField name="합계" numFmtId="41">
      <sharedItems containsNonDate="0" containsString="0" containsBlank="1"/>
    </cacheField>
    <cacheField name="비고" numFmtId="41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  <r>
    <m/>
    <m/>
    <x v="0"/>
    <x v="0"/>
    <m/>
    <x v="0"/>
    <m/>
    <x v="0"/>
    <x v="0"/>
    <x v="0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F61387-4FCF-A64A-A6F3-576C739A058C}" name="회사별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 chartFormat="1">
  <location ref="A3:H4" firstHeaderRow="0" firstDataRow="1" firstDataCol="3" rowPageCount="1" colPageCount="1"/>
  <pivotFields count="17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5">
        <item m="1" x="1"/>
        <item m="1" x="2"/>
        <item m="1" x="3"/>
        <item h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12">
        <item h="1" x="0"/>
        <item m="1" x="4"/>
        <item m="1" x="9"/>
        <item m="1" x="7"/>
        <item m="1" x="8"/>
        <item m="1" x="5"/>
        <item m="1" x="3"/>
        <item m="1" x="2"/>
        <item m="1" x="10"/>
        <item m="1" x="6"/>
        <item m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">
        <item m="1" x="4"/>
        <item m="1" x="7"/>
        <item m="1" x="6"/>
        <item m="1" x="5"/>
        <item m="1" x="2"/>
        <item h="1" x="0"/>
        <item m="1" x="3"/>
        <item m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">
        <item h="1" x="0"/>
        <item m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8"/>
    <field x="9"/>
  </rowFields>
  <rowItems count="1"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7" hier="-1"/>
  </pageFields>
  <dataFields count="5">
    <dataField name="합계 : 수량" fld="10" baseField="0" baseItem="0"/>
    <dataField name="합계 : 단가" fld="12" baseField="0" baseItem="0" numFmtId="42"/>
    <dataField name="합계 : 공급가액" fld="13" baseField="0" baseItem="0" numFmtId="42"/>
    <dataField name="합계 : 세액" fld="14" baseField="0" baseItem="0" numFmtId="42"/>
    <dataField name="합계 : 합계" fld="15" baseField="0" baseItem="0" numFmtId="42"/>
  </dataFields>
  <formats count="8">
    <format dxfId="209">
      <pivotArea type="all" dataOnly="0" outline="0" fieldPosition="0"/>
    </format>
    <format dxfId="208">
      <pivotArea outline="0" collapsedLevelsAreSubtotals="1" fieldPosition="0"/>
    </format>
    <format dxfId="207">
      <pivotArea field="2" type="button" dataOnly="0" labelOnly="1" outline="0" axis="axisRow" fieldPosition="0"/>
    </format>
    <format dxfId="206">
      <pivotArea dataOnly="0" labelOnly="1" grandRow="1" outline="0" fieldPosition="0"/>
    </format>
    <format dxfId="205">
      <pivotArea outline="0" fieldPosition="0">
        <references count="1">
          <reference field="4294967294" count="1">
            <x v="4"/>
          </reference>
        </references>
      </pivotArea>
    </format>
    <format dxfId="204">
      <pivotArea outline="0" fieldPosition="0">
        <references count="1">
          <reference field="4294967294" count="1">
            <x v="1"/>
          </reference>
        </references>
      </pivotArea>
    </format>
    <format dxfId="203">
      <pivotArea outline="0" fieldPosition="0">
        <references count="1">
          <reference field="4294967294" count="1">
            <x v="2"/>
          </reference>
        </references>
      </pivotArea>
    </format>
    <format dxfId="202">
      <pivotArea outline="0" fieldPosition="0">
        <references count="1">
          <reference field="4294967294" count="1">
            <x v="3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9F9749-DA52-B649-8421-8BA72A252D78}" name="제품별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>
  <location ref="A3:H4" firstHeaderRow="0" firstDataRow="1" firstDataCol="3" rowPageCount="1" colPageCount="1"/>
  <pivotFields count="17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1"/>
        <item m="1" x="2"/>
        <item m="1" x="3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h="1" x="0"/>
        <item m="1" x="4"/>
        <item m="1" x="9"/>
        <item m="1" x="7"/>
        <item m="1" x="8"/>
        <item m="1" x="5"/>
        <item m="1" x="3"/>
        <item m="1" x="2"/>
        <item m="1" x="10"/>
        <item m="1" x="6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8">
        <item m="1" x="4"/>
        <item m="1" x="7"/>
        <item m="1" x="6"/>
        <item m="1" x="5"/>
        <item m="1" x="2"/>
        <item h="1" x="0"/>
        <item m="1" x="3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h="1"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7"/>
    <field x="9"/>
  </rowFields>
  <rowItems count="1"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8" hier="-1"/>
  </pageFields>
  <dataFields count="5">
    <dataField name="합계 : 수량" fld="10" baseField="0" baseItem="0" numFmtId="179"/>
    <dataField name="합계 : 단가" fld="12" baseField="0" baseItem="0" numFmtId="42"/>
    <dataField name="합계 : 공급가액" fld="13" baseField="0" baseItem="0" numFmtId="42"/>
    <dataField name="합계 : 세액" fld="14" baseField="0" baseItem="0" numFmtId="42"/>
    <dataField name="합계 : 합계" fld="15" baseField="0" baseItem="0" numFmtId="42"/>
  </dataFields>
  <formats count="12">
    <format dxfId="201">
      <pivotArea type="all" dataOnly="0" outline="0" fieldPosition="0"/>
    </format>
    <format dxfId="200">
      <pivotArea outline="0" collapsedLevelsAreSubtotals="1" fieldPosition="0"/>
    </format>
    <format dxfId="199">
      <pivotArea field="2" type="button" dataOnly="0" labelOnly="1" outline="0" axis="axisRow" fieldPosition="0"/>
    </format>
    <format dxfId="198">
      <pivotArea field="7" type="button" dataOnly="0" labelOnly="1" outline="0" axis="axisRow" fieldPosition="1"/>
    </format>
    <format dxfId="197">
      <pivotArea dataOnly="0" labelOnly="1" outline="0" fieldPosition="0">
        <references count="1">
          <reference field="2" count="0"/>
        </references>
      </pivotArea>
    </format>
    <format dxfId="196">
      <pivotArea dataOnly="0" labelOnly="1" outline="0" fieldPosition="0">
        <references count="1">
          <reference field="2" count="0" defaultSubtotal="1"/>
        </references>
      </pivotArea>
    </format>
    <format dxfId="195">
      <pivotArea dataOnly="0" labelOnly="1" grandRow="1" outline="0" fieldPosition="0"/>
    </format>
    <format dxfId="194">
      <pivotArea outline="0" fieldPosition="0">
        <references count="1">
          <reference field="4294967294" count="1">
            <x v="0"/>
          </reference>
        </references>
      </pivotArea>
    </format>
    <format dxfId="193">
      <pivotArea outline="0" fieldPosition="0">
        <references count="1">
          <reference field="4294967294" count="1">
            <x v="1"/>
          </reference>
        </references>
      </pivotArea>
    </format>
    <format dxfId="192">
      <pivotArea outline="0" fieldPosition="0">
        <references count="1">
          <reference field="4294967294" count="1">
            <x v="2"/>
          </reference>
        </references>
      </pivotArea>
    </format>
    <format dxfId="191">
      <pivotArea outline="0" fieldPosition="0">
        <references count="1">
          <reference field="4294967294" count="1">
            <x v="3"/>
          </reference>
        </references>
      </pivotArea>
    </format>
    <format dxfId="190">
      <pivotArea outline="0" fieldPosition="0">
        <references count="1">
          <reference field="4294967294" count="1">
            <x v="4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3375D6-1B52-004E-BCB7-44284E6C89CC}" name="분기별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>
  <location ref="A3:H4" firstHeaderRow="0" firstDataRow="1" firstDataCol="3" rowPageCount="1" colPageCount="1"/>
  <pivotFields count="17"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4">
        <item m="1" x="1"/>
        <item h="1" x="0"/>
        <item m="1" x="2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2">
        <item h="1" x="0"/>
        <item m="1" x="4"/>
        <item m="1" x="9"/>
        <item m="1" x="7"/>
        <item m="1" x="8"/>
        <item m="1" x="5"/>
        <item m="1" x="3"/>
        <item m="1" x="2"/>
        <item m="1" x="10"/>
        <item m="1" x="6"/>
        <item m="1" x="1"/>
        <item t="default"/>
      </items>
    </pivotField>
    <pivotField axis="axisRow" compact="0" outline="0" showAll="0">
      <items count="9">
        <item m="1" x="4"/>
        <item m="1" x="7"/>
        <item m="1" x="6"/>
        <item m="1" x="5"/>
        <item m="1" x="2"/>
        <item h="1" x="0"/>
        <item m="1" x="3"/>
        <item m="1" x="1"/>
        <item t="default"/>
      </items>
    </pivotField>
    <pivotField axis="axisRow" compact="0" outline="0" showAll="0">
      <items count="3">
        <item h="1" x="0"/>
        <item m="1" x="1"/>
        <item t="default"/>
      </items>
    </pivotField>
    <pivotField dataField="1"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</pivotFields>
  <rowFields count="3">
    <field x="7"/>
    <field x="8"/>
    <field x="9"/>
  </rowFields>
  <rowItems count="1"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3" hier="-1"/>
  </pageFields>
  <dataFields count="5">
    <dataField name="합계 : 수량" fld="10" baseField="0" baseItem="0" numFmtId="179"/>
    <dataField name="합계 : 단가" fld="12" baseField="0" baseItem="0" numFmtId="42"/>
    <dataField name="합계 : 공급가액" fld="13" baseField="0" baseItem="0" numFmtId="42"/>
    <dataField name="합계 : 세액" fld="14" baseField="0" baseItem="0" numFmtId="42"/>
    <dataField name="합계 : 합계" fld="15" baseField="0" baseItem="0" numFmtId="42"/>
  </dataFields>
  <formats count="11">
    <format dxfId="189">
      <pivotArea type="all" dataOnly="0" outline="0" fieldPosition="0"/>
    </format>
    <format dxfId="188">
      <pivotArea outline="0" collapsedLevelsAreSubtotals="1" fieldPosition="0"/>
    </format>
    <format dxfId="187">
      <pivotArea field="7" type="button" dataOnly="0" labelOnly="1" outline="0" axis="axisRow" fieldPosition="0"/>
    </format>
    <format dxfId="186">
      <pivotArea dataOnly="0" labelOnly="1" outline="0" fieldPosition="0">
        <references count="1">
          <reference field="7" count="0"/>
        </references>
      </pivotArea>
    </format>
    <format dxfId="185">
      <pivotArea dataOnly="0" labelOnly="1" outline="0" fieldPosition="0">
        <references count="1">
          <reference field="7" count="0" defaultSubtotal="1"/>
        </references>
      </pivotArea>
    </format>
    <format dxfId="184">
      <pivotArea dataOnly="0" labelOnly="1" grandRow="1" outline="0" fieldPosition="0"/>
    </format>
    <format dxfId="183">
      <pivotArea outline="0" fieldPosition="0">
        <references count="1">
          <reference field="4294967294" count="1">
            <x v="0"/>
          </reference>
        </references>
      </pivotArea>
    </format>
    <format dxfId="182">
      <pivotArea outline="0" fieldPosition="0">
        <references count="1">
          <reference field="4294967294" count="1">
            <x v="1"/>
          </reference>
        </references>
      </pivotArea>
    </format>
    <format dxfId="181">
      <pivotArea outline="0" fieldPosition="0">
        <references count="1">
          <reference field="4294967294" count="1">
            <x v="2"/>
          </reference>
        </references>
      </pivotArea>
    </format>
    <format dxfId="180">
      <pivotArea outline="0" fieldPosition="0">
        <references count="1">
          <reference field="4294967294" count="1">
            <x v="3"/>
          </reference>
        </references>
      </pivotArea>
    </format>
    <format dxfId="179">
      <pivotArea outline="0" fieldPosition="0">
        <references count="1">
          <reference field="4294967294" count="1">
            <x v="4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00F9B6-41B8-DA4F-A352-9290DEFEE09E}" name="월별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>
  <location ref="A3:H4" firstHeaderRow="0" firstDataRow="1" firstDataCol="3" rowPageCount="1" colPageCount="1"/>
  <pivotFields count="17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3">
        <item m="1" x="1"/>
        <item h="1" x="0"/>
        <item t="default"/>
      </items>
    </pivotField>
    <pivotField compact="0" outline="0" showAll="0"/>
    <pivotField axis="axisRow" compact="0" outline="0" showAll="0">
      <items count="12">
        <item h="1" x="0"/>
        <item m="1" x="4"/>
        <item m="1" x="9"/>
        <item m="1" x="7"/>
        <item m="1" x="8"/>
        <item m="1" x="5"/>
        <item m="1" x="3"/>
        <item m="1" x="2"/>
        <item m="1" x="10"/>
        <item m="1" x="6"/>
        <item m="1" x="1"/>
        <item t="default"/>
      </items>
    </pivotField>
    <pivotField axis="axisRow" compact="0" outline="0" showAll="0">
      <items count="9">
        <item m="1" x="4"/>
        <item m="1" x="7"/>
        <item m="1" x="2"/>
        <item h="1" x="0"/>
        <item m="1" x="5"/>
        <item m="1" x="6"/>
        <item m="1" x="3"/>
        <item m="1" x="1"/>
        <item t="default"/>
      </items>
    </pivotField>
    <pivotField axis="axisRow" compact="0" outline="0" showAll="0">
      <items count="3">
        <item h="1" x="0"/>
        <item m="1" x="1"/>
        <item t="default"/>
      </items>
    </pivotField>
    <pivotField dataField="1"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</pivotFields>
  <rowFields count="3">
    <field x="7"/>
    <field x="8"/>
    <field x="9"/>
  </rowFields>
  <rowItems count="1"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5" hier="-1"/>
  </pageFields>
  <dataFields count="5">
    <dataField name="합계 : 수량" fld="10" baseField="0" baseItem="0" numFmtId="179"/>
    <dataField name="합계 : 단가" fld="12" baseField="0" baseItem="0" numFmtId="42"/>
    <dataField name="합계 : 공급가액" fld="13" baseField="0" baseItem="0" numFmtId="42"/>
    <dataField name="합계 : 세액" fld="14" baseField="0" baseItem="0" numFmtId="42"/>
    <dataField name="합계 : 합계" fld="15" baseField="0" baseItem="0" numFmtId="42"/>
  </dataFields>
  <formats count="11">
    <format dxfId="178">
      <pivotArea type="all" dataOnly="0" outline="0" fieldPosition="0"/>
    </format>
    <format dxfId="177">
      <pivotArea outline="0" collapsedLevelsAreSubtotals="1" fieldPosition="0"/>
    </format>
    <format dxfId="176">
      <pivotArea field="7" type="button" dataOnly="0" labelOnly="1" outline="0" axis="axisRow" fieldPosition="0"/>
    </format>
    <format dxfId="175">
      <pivotArea dataOnly="0" labelOnly="1" outline="0" fieldPosition="0">
        <references count="1">
          <reference field="7" count="0"/>
        </references>
      </pivotArea>
    </format>
    <format dxfId="174">
      <pivotArea dataOnly="0" labelOnly="1" outline="0" fieldPosition="0">
        <references count="1">
          <reference field="7" count="0" defaultSubtotal="1"/>
        </references>
      </pivotArea>
    </format>
    <format dxfId="173">
      <pivotArea dataOnly="0" labelOnly="1" grandRow="1" outline="0" fieldPosition="0"/>
    </format>
    <format dxfId="172">
      <pivotArea outline="0" fieldPosition="0">
        <references count="1">
          <reference field="4294967294" count="1">
            <x v="0"/>
          </reference>
        </references>
      </pivotArea>
    </format>
    <format dxfId="171">
      <pivotArea outline="0" fieldPosition="0">
        <references count="1">
          <reference field="4294967294" count="1">
            <x v="1"/>
          </reference>
        </references>
      </pivotArea>
    </format>
    <format dxfId="170">
      <pivotArea outline="0" fieldPosition="0">
        <references count="1">
          <reference field="4294967294" count="1">
            <x v="2"/>
          </reference>
        </references>
      </pivotArea>
    </format>
    <format dxfId="169">
      <pivotArea outline="0" fieldPosition="0">
        <references count="1">
          <reference field="4294967294" count="1">
            <x v="3"/>
          </reference>
        </references>
      </pivotArea>
    </format>
    <format dxfId="168">
      <pivotArea outline="0" fieldPosition="0">
        <references count="1">
          <reference field="4294967294" count="1">
            <x v="4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546E6C-E53D-1141-81E9-C1EC7140F272}" name="규격" displayName="규격" ref="A1:K38" totalsRowShown="0" headerRowDxfId="167" dataDxfId="165" headerRowBorderDxfId="166" tableBorderDxfId="164" totalsRowBorderDxfId="163">
  <autoFilter ref="A1:K38" xr:uid="{A8ADA8BA-B813-3B46-B97E-1FDE5091B71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27445688-6D33-9949-84D1-1495FDA45BBD}" name="품목" dataDxfId="162"/>
    <tableColumn id="2" xr3:uid="{C44CAF2B-E6D0-7049-9976-B1404FF0C9F1}" name="직접입력" dataDxfId="161"/>
    <tableColumn id="3" xr3:uid="{0F9BCAD0-38B5-6147-9AF8-1852A21D41A9}" name="제품1" dataDxfId="160"/>
    <tableColumn id="4" xr3:uid="{85B45EC5-B515-C140-BB86-F22378698F8E}" name="제품2" dataDxfId="159"/>
    <tableColumn id="5" xr3:uid="{7D6B46C7-B79D-B94F-BBC6-A1CC01367B6B}" name="제품3" dataDxfId="158" dataCellStyle="쉼표 [0]"/>
    <tableColumn id="6" xr3:uid="{9C1F72CA-150E-E64D-9760-5450EA8763BC}" name="제품4" dataDxfId="157"/>
    <tableColumn id="7" xr3:uid="{6059A680-EBAC-8E48-9A11-B8E9777E427A}" name="제품5" dataDxfId="156"/>
    <tableColumn id="8" xr3:uid="{DFA17BED-7243-BB4C-ABE4-96FC92402ABE}" name="제품6" dataDxfId="155"/>
    <tableColumn id="9" xr3:uid="{55E6CF05-DB68-1749-9F14-C8FEDAE21CD7}" name="제품7" dataDxfId="154"/>
    <tableColumn id="10" xr3:uid="{50F19815-39EC-2E4A-946D-5D5E13DB80E0}" name="제품8" dataDxfId="153"/>
    <tableColumn id="11" xr3:uid="{13A31F48-5276-2C48-8167-D9FF1E9B1829}" name="제품9" dataDxfId="15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1B00CF7-62DE-AC4B-9D3C-AC5FEF2DB039}" name="거래처" displayName="거래처" ref="A1:Q84" totalsRowShown="0" headerRowDxfId="151" dataDxfId="149" headerRowBorderDxfId="150" tableBorderDxfId="148" totalsRowBorderDxfId="147">
  <autoFilter ref="A1:Q84" xr:uid="{69FDFC77-E72B-AC4C-A8E7-BCA431BD89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A71C6DEE-3669-EA4B-9F5E-80D0DF8277A1}" name="거래처상호" dataDxfId="146"/>
    <tableColumn id="2" xr3:uid="{0898BBB7-D7E1-2449-9B16-21F885A5AB38}" name="순번" dataDxfId="145"/>
    <tableColumn id="3" xr3:uid="{B38262A4-CD34-5546-8CBB-08B67230F2AE}" name="거래처등록번호" dataDxfId="144"/>
    <tableColumn id="4" xr3:uid="{D5B7C0E7-6B12-3A40-858E-E2FC385D86BB}" name="종사업장번호" dataDxfId="143"/>
    <tableColumn id="5" xr3:uid="{AFC0E202-BF83-2548-BE1F-D14AB7376362}" name="대표자명" dataDxfId="142"/>
    <tableColumn id="6" xr3:uid="{1EA4FD89-8317-5640-8BB3-9024E924D34F}" name="사업자주소" dataDxfId="141"/>
    <tableColumn id="7" xr3:uid="{A6E9E7B6-857E-2641-845C-57F3E6279E28}" name="업태" dataDxfId="140"/>
    <tableColumn id="8" xr3:uid="{7EBC3C10-C6E0-3A42-ADAB-E766EC6266DB}" name="종목" dataDxfId="139"/>
    <tableColumn id="9" xr3:uid="{9D2390EF-6613-074B-A233-C11F32336955}" name="부서명" dataDxfId="138"/>
    <tableColumn id="10" xr3:uid="{1DCF7CE4-D40A-D041-8D5B-839F1D4BC074}" name="성명" dataDxfId="137"/>
    <tableColumn id="11" xr3:uid="{ECD73DE2-CBF2-F54C-918C-68EAECDC8A79}" name="전화번호" dataDxfId="136"/>
    <tableColumn id="12" xr3:uid="{1743D46B-56F8-F84D-BDFF-6F621E065AE5}" name="휴대전화번호" dataDxfId="135"/>
    <tableColumn id="13" xr3:uid="{1BF0A082-8823-EB45-B76B-15FBEDAB7DA4}" name="팩스번호" dataDxfId="134"/>
    <tableColumn id="14" xr3:uid="{E226E09A-621B-EF4E-8656-03756BB97ADA}" name="이메일주소" dataDxfId="133"/>
    <tableColumn id="15" xr3:uid="{0D7506C5-0C00-FF4D-A5CD-4C13DE6C9DB1}" name="비고" dataDxfId="132"/>
    <tableColumn id="16" xr3:uid="{CA9D5082-F3AB-C943-81C2-81BB3A478B09}" name="구분" dataDxfId="131"/>
    <tableColumn id="17" xr3:uid="{182C57EC-7E8E-144A-B4BE-D526147B5809}" name="등록일자" dataDxfId="13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B24B59-887C-B54D-9185-0F83C5A20EE3}" name="데이터" displayName="데이터" ref="A1:DE39" totalsRowShown="0" headerRowDxfId="129" dataDxfId="128" headerRowCellStyle="쉼표 [0]" dataCellStyle="쉼표 [0]">
  <autoFilter ref="A1:DE39" xr:uid="{A63B3AD9-4585-C34A-A74B-82D4F182C82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</autoFilter>
  <tableColumns count="109">
    <tableColumn id="2" xr3:uid="{ED139071-DCAD-324A-811B-AC55A13E0269}" name="거래명세서 번호" dataDxfId="127"/>
    <tableColumn id="113" xr3:uid="{D89ABD3F-0B68-8842-AA37-FBF189002FA3}" name="참조번호" dataDxfId="126"/>
    <tableColumn id="3" xr3:uid="{5F92A6C5-835D-5544-9968-56FB6BCBF14B}" name="거래일시" dataDxfId="125"/>
    <tableColumn id="15" xr3:uid="{963D0255-E897-2241-8F79-9E949372274F}" name="분기" dataDxfId="124"/>
    <tableColumn id="14" xr3:uid="{D9F5E6AD-BABB-A348-AD00-22D79A28FA82}" name="년" dataDxfId="123"/>
    <tableColumn id="13" xr3:uid="{C5B0A199-7C3F-B849-88A0-7BBB6DAB6073}" name="월" dataDxfId="122"/>
    <tableColumn id="12" xr3:uid="{E78AA46F-EE04-4846-9B76-C02219B06008}" name="일" dataDxfId="121"/>
    <tableColumn id="4" xr3:uid="{408B9AC6-651E-B547-BE0E-F9A146AFB61C}" name="상호" dataDxfId="120"/>
    <tableColumn id="114" xr3:uid="{6D34EC12-5D0C-4D4C-8A0B-2A99D27ECA2C}" name="참조번호합계" dataDxfId="119"/>
    <tableColumn id="103" xr3:uid="{E1930A2A-3203-5140-93A2-790C84CACD0E}" name="참조번호1" dataDxfId="118"/>
    <tableColumn id="5" xr3:uid="{28BC3025-4071-8A4F-99AE-D6EE5559B6C7}" name="품목1" dataDxfId="117"/>
    <tableColumn id="6" xr3:uid="{B8936DC3-C5DE-AF4D-88A8-016A54B182B8}" name="규격1" dataDxfId="116"/>
    <tableColumn id="7" xr3:uid="{A7AC054F-9577-8844-901C-DEAF6F13ADD7}" name="수량1" dataDxfId="115" dataCellStyle="쉼표 [0]"/>
    <tableColumn id="8" xr3:uid="{6B0B0F3A-7DAE-454D-BC22-9ADA49C958FF}" name="단위1" dataDxfId="114"/>
    <tableColumn id="9" xr3:uid="{2591928A-2A37-C647-8344-577CA0A1EAEF}" name="단가1" dataDxfId="113" dataCellStyle="쉼표 [0]"/>
    <tableColumn id="10" xr3:uid="{765471A7-D531-4440-AC61-6B8FD40925F0}" name="공급가액1" dataDxfId="112" dataCellStyle="쉼표 [0]"/>
    <tableColumn id="11" xr3:uid="{1CD47D48-933C-B248-A36A-B7C0C2FA9069}" name="세액1" dataDxfId="111" dataCellStyle="쉼표 [0]"/>
    <tableColumn id="16" xr3:uid="{6DE78B8E-4C23-9E48-93D8-0B1A12F6FFE0}" name="합계1" dataDxfId="110" dataCellStyle="쉼표 [0]"/>
    <tableColumn id="17" xr3:uid="{DF371A79-3B02-F24F-BC0A-E8B41E232A32}" name="비고1" dataDxfId="109" dataCellStyle="쉼표 [0]"/>
    <tableColumn id="104" xr3:uid="{218FFADB-80EE-C84B-9BDF-1E67530AA51B}" name="참조번호2" dataDxfId="108" dataCellStyle="쉼표 [0]"/>
    <tableColumn id="1" xr3:uid="{0CBB8D15-02D0-0348-811C-0204D949CADA}" name="품목2" dataDxfId="107" dataCellStyle="쉼표 [0]"/>
    <tableColumn id="18" xr3:uid="{BB509882-8344-024A-9505-B315C2648740}" name="규격2" dataDxfId="106" dataCellStyle="쉼표 [0]"/>
    <tableColumn id="19" xr3:uid="{3F88B059-D5E9-6747-B5A1-C8B19F517E76}" name="수량2" dataDxfId="105" dataCellStyle="쉼표 [0]"/>
    <tableColumn id="20" xr3:uid="{B3321A86-B690-2341-9ABB-2121D430799A}" name="단위2" dataDxfId="104" dataCellStyle="쉼표 [0]"/>
    <tableColumn id="21" xr3:uid="{AD1620C7-BD0D-6848-8822-DC5120684380}" name="단가2" dataDxfId="103" dataCellStyle="쉼표 [0]"/>
    <tableColumn id="22" xr3:uid="{0B06033E-9A7B-9743-87D0-2C6B6642C5D7}" name="공급가액2" dataDxfId="102" dataCellStyle="쉼표 [0]"/>
    <tableColumn id="23" xr3:uid="{69FC9389-1088-7344-AECA-32BB727D8954}" name="세액2" dataDxfId="101" dataCellStyle="쉼표 [0]"/>
    <tableColumn id="24" xr3:uid="{BD3B9233-3222-994E-A0CE-B93D2A65455A}" name="합계2" dataDxfId="100" dataCellStyle="쉼표 [0]"/>
    <tableColumn id="25" xr3:uid="{AADA9F71-F871-2C4E-B6AB-F238A21307DB}" name="비고2" dataDxfId="99" dataCellStyle="쉼표 [0]"/>
    <tableColumn id="105" xr3:uid="{0B950B27-8264-C84F-BB97-25C68DA8B3B3}" name="참조번호3" dataDxfId="98" dataCellStyle="쉼표 [0]"/>
    <tableColumn id="26" xr3:uid="{2C226C9E-88C6-5C47-BAD1-010C0A124940}" name="품목3" dataDxfId="97" dataCellStyle="쉼표 [0]"/>
    <tableColumn id="27" xr3:uid="{51F0BF23-F6BC-A449-AA2D-D9E594481859}" name="규격3" dataDxfId="96" dataCellStyle="쉼표 [0]"/>
    <tableColumn id="28" xr3:uid="{F7417132-1489-374D-B0C2-BFBE8AF906AB}" name="수량3" dataDxfId="95" dataCellStyle="쉼표 [0]"/>
    <tableColumn id="29" xr3:uid="{84592AF0-EEAA-E346-ADDD-999909492ECA}" name="단위3" dataDxfId="94" dataCellStyle="쉼표 [0]"/>
    <tableColumn id="30" xr3:uid="{AF96EC80-A5AA-134E-BD44-2F86A8661752}" name="단가3" dataDxfId="93" dataCellStyle="쉼표 [0]"/>
    <tableColumn id="31" xr3:uid="{89735FE7-E317-214A-B029-0D20C6CF2D19}" name="공급가액3" dataDxfId="92" dataCellStyle="쉼표 [0]"/>
    <tableColumn id="32" xr3:uid="{F826C014-8608-E242-812A-D1233E4383F3}" name="세액3" dataDxfId="91" dataCellStyle="쉼표 [0]"/>
    <tableColumn id="33" xr3:uid="{E17D720B-1AC9-2945-8A71-FD9E24322CDB}" name="합계3" dataDxfId="90" dataCellStyle="쉼표 [0]"/>
    <tableColumn id="34" xr3:uid="{1CEB5C1C-996E-FA43-98F2-B2E8A470D421}" name="비고3" dataDxfId="89" dataCellStyle="쉼표 [0]"/>
    <tableColumn id="106" xr3:uid="{29B4E4EC-DDF9-2D4C-971A-AEB76AB2EF81}" name="참조번호4" dataDxfId="88" dataCellStyle="쉼표 [0]"/>
    <tableColumn id="35" xr3:uid="{4045C59C-97C7-A84F-AA72-73384450BEAC}" name="품목4" dataDxfId="87" dataCellStyle="쉼표 [0]"/>
    <tableColumn id="36" xr3:uid="{073598A2-4EAB-FB42-A9EC-A83FC4733A29}" name="규격4" dataDxfId="86" dataCellStyle="쉼표 [0]"/>
    <tableColumn id="37" xr3:uid="{AA05BDFD-8940-C34E-92E5-8B84D700BE8B}" name="수량4" dataDxfId="85" dataCellStyle="쉼표 [0]"/>
    <tableColumn id="38" xr3:uid="{F8CBCA80-E6E0-1B47-B307-893A74ADBCE1}" name="단위4" dataDxfId="84" dataCellStyle="쉼표 [0]"/>
    <tableColumn id="39" xr3:uid="{5CCB4375-0361-8046-BCC1-0CF4D31C46B5}" name="단가4" dataDxfId="83" dataCellStyle="쉼표 [0]"/>
    <tableColumn id="40" xr3:uid="{0ABF1F65-217B-384F-AC89-90D9532C0C67}" name="공급가액4" dataDxfId="82" dataCellStyle="쉼표 [0]"/>
    <tableColumn id="41" xr3:uid="{BD362FD8-F2BE-0648-863C-C41701FE0478}" name="세액4" dataDxfId="81" dataCellStyle="쉼표 [0]"/>
    <tableColumn id="42" xr3:uid="{1F0BE83B-0B88-8442-B3A4-01E0C8578327}" name="합계4" dataDxfId="80" dataCellStyle="쉼표 [0]"/>
    <tableColumn id="43" xr3:uid="{1FB0895A-D999-7748-AD28-D727DE31BDD5}" name="비고4" dataDxfId="79" dataCellStyle="쉼표 [0]"/>
    <tableColumn id="107" xr3:uid="{0094A458-DA58-A844-AED2-F99A9A63DF36}" name="참조번호5" dataDxfId="78" dataCellStyle="쉼표 [0]"/>
    <tableColumn id="44" xr3:uid="{74127A77-4255-0841-903D-C1CF12B7D296}" name="품목5" dataDxfId="77" dataCellStyle="쉼표 [0]"/>
    <tableColumn id="45" xr3:uid="{367BFE50-E269-324E-87EA-C19970B6DC7C}" name="규격5" dataDxfId="76" dataCellStyle="쉼표 [0]"/>
    <tableColumn id="46" xr3:uid="{E713D92F-8FE5-9E4C-81AE-BB81D715AE4E}" name="수량5" dataDxfId="75" dataCellStyle="쉼표 [0]"/>
    <tableColumn id="47" xr3:uid="{A55CD542-FB3B-B24B-9E29-89DFF6208EC1}" name="단위5" dataDxfId="74" dataCellStyle="쉼표 [0]"/>
    <tableColumn id="48" xr3:uid="{33DEEE64-AC0C-F542-BB37-731452BFAA28}" name="단가5" dataDxfId="73" dataCellStyle="쉼표 [0]"/>
    <tableColumn id="49" xr3:uid="{FF15F6B9-052C-8B42-B5CC-8FD4DC92C316}" name="공급가액5" dataDxfId="72" dataCellStyle="쉼표 [0]"/>
    <tableColumn id="50" xr3:uid="{3D85A739-0CA4-BF43-8390-8DE52050CF23}" name="세액5" dataDxfId="71" dataCellStyle="쉼표 [0]"/>
    <tableColumn id="51" xr3:uid="{FC05F7BB-2569-E548-AD6A-195975ED5F94}" name="합계5" dataDxfId="70" dataCellStyle="쉼표 [0]"/>
    <tableColumn id="52" xr3:uid="{CF70E186-B7F2-9140-A6FE-81FC6462733D}" name="비고5" dataDxfId="69" dataCellStyle="쉼표 [0]"/>
    <tableColumn id="108" xr3:uid="{98A0CB79-A3DC-0348-A71A-AA8BC7618075}" name="참조번호6" dataDxfId="68" dataCellStyle="쉼표 [0]"/>
    <tableColumn id="53" xr3:uid="{EC696824-0680-0B45-86AD-742B7BBA3829}" name="품목6" dataDxfId="67" dataCellStyle="쉼표 [0]"/>
    <tableColumn id="54" xr3:uid="{2C26378C-3E9D-8348-9744-5B9A32FFACA5}" name="규격6" dataDxfId="66" dataCellStyle="쉼표 [0]"/>
    <tableColumn id="55" xr3:uid="{44B2E1FE-B9CF-3942-BE8E-9F1E7D2964C9}" name="수량6" dataDxfId="65" dataCellStyle="쉼표 [0]"/>
    <tableColumn id="56" xr3:uid="{46DB1433-C0E2-F745-BEE0-A813285BA419}" name="단위6" dataDxfId="64" dataCellStyle="쉼표 [0]"/>
    <tableColumn id="57" xr3:uid="{0F1328CA-3C59-044D-9D9D-7B45CC313C66}" name="단가6" dataDxfId="63" dataCellStyle="쉼표 [0]"/>
    <tableColumn id="58" xr3:uid="{43262525-4024-1944-88A3-D917540614EF}" name="공급가액6" dataDxfId="62" dataCellStyle="쉼표 [0]"/>
    <tableColumn id="59" xr3:uid="{D916947C-4B3F-114A-8D0B-CB73A4833FEF}" name="세액6" dataDxfId="61" dataCellStyle="쉼표 [0]"/>
    <tableColumn id="60" xr3:uid="{65AA92DD-5395-7F43-8536-ABE86A81DAE0}" name="합계6" dataDxfId="60" dataCellStyle="쉼표 [0]"/>
    <tableColumn id="61" xr3:uid="{1C4203D8-95FC-364E-B87F-B36C3B072AEF}" name="비고6" dataDxfId="59" dataCellStyle="쉼표 [0]"/>
    <tableColumn id="109" xr3:uid="{46690456-EAF0-E94E-966C-8B3A12CE7E9C}" name="참조번호7" dataDxfId="58" dataCellStyle="쉼표 [0]"/>
    <tableColumn id="62" xr3:uid="{E14ED09B-FB15-CB48-A966-0DBAA8FB6CF4}" name="품목7" dataDxfId="57" dataCellStyle="쉼표 [0]"/>
    <tableColumn id="63" xr3:uid="{59D9E028-450D-5841-B80B-C97D9A6677D5}" name="규격7" dataDxfId="56" dataCellStyle="쉼표 [0]"/>
    <tableColumn id="64" xr3:uid="{78D59668-0E2E-1A4F-993B-2C24377A92C4}" name="수량7" dataDxfId="55" dataCellStyle="쉼표 [0]"/>
    <tableColumn id="65" xr3:uid="{5E2558E2-9F19-5646-907D-F771AC3FA624}" name="단위7" dataDxfId="54" dataCellStyle="쉼표 [0]"/>
    <tableColumn id="66" xr3:uid="{2F005E11-D9CD-0443-BF78-CEEE0B968C8C}" name="단가7" dataDxfId="53" dataCellStyle="쉼표 [0]"/>
    <tableColumn id="67" xr3:uid="{5DBDDA36-2CF9-C845-8D01-A86A0C34BDCE}" name="공급가액7" dataDxfId="52" dataCellStyle="쉼표 [0]"/>
    <tableColumn id="68" xr3:uid="{16D12BF4-2631-5E45-A3B3-1DC75B389622}" name="세액7" dataDxfId="51" dataCellStyle="쉼표 [0]"/>
    <tableColumn id="69" xr3:uid="{25799B07-F699-0442-873B-3959C0BA4FDE}" name="합계7" dataDxfId="50" dataCellStyle="쉼표 [0]"/>
    <tableColumn id="70" xr3:uid="{530C9BFF-871D-FC40-BB52-0E4CF407ED6F}" name="비고7" dataDxfId="49" dataCellStyle="쉼표 [0]"/>
    <tableColumn id="110" xr3:uid="{7F7B9C74-DE8F-F749-AE71-76E1B7C769AB}" name="참조번호8" dataDxfId="48" dataCellStyle="쉼표 [0]"/>
    <tableColumn id="71" xr3:uid="{A03D37F4-BC30-454F-A722-5480B8C479C7}" name="품목8" dataDxfId="47" dataCellStyle="쉼표 [0]"/>
    <tableColumn id="72" xr3:uid="{BEEC2A3E-D93C-0D4D-B539-F70CFAE7BD0D}" name="규격8" dataDxfId="46" dataCellStyle="쉼표 [0]"/>
    <tableColumn id="73" xr3:uid="{C64116C4-2B42-424A-AFE8-5EDDDB5C8BB5}" name="수량8" dataDxfId="45" dataCellStyle="쉼표 [0]"/>
    <tableColumn id="74" xr3:uid="{BCF8DF0A-EA80-534E-9075-DE60B6ADE6D3}" name="단위8" dataDxfId="44" dataCellStyle="쉼표 [0]"/>
    <tableColumn id="75" xr3:uid="{0B0ACDA0-5652-3748-B5A8-B68AC4D6BD88}" name="단가8" dataDxfId="43" dataCellStyle="쉼표 [0]"/>
    <tableColumn id="76" xr3:uid="{7E69EDBF-F207-DE4A-804E-58970F95E4D1}" name="공급가액8" dataDxfId="42" dataCellStyle="쉼표 [0]"/>
    <tableColumn id="77" xr3:uid="{D607795B-0142-2C4F-85C3-83019D8D552D}" name="세액8" dataDxfId="41" dataCellStyle="쉼표 [0]"/>
    <tableColumn id="78" xr3:uid="{C77E72E5-6E8B-A148-B2D4-C437B18A4357}" name="합계8" dataDxfId="40" dataCellStyle="쉼표 [0]"/>
    <tableColumn id="79" xr3:uid="{3DFC6F80-5114-8B4F-B645-7D3CF3916F42}" name="비고8" dataDxfId="39" dataCellStyle="쉼표 [0]"/>
    <tableColumn id="111" xr3:uid="{460A515C-BAD1-C04C-9331-0B474B6EAC48}" name="참조번호9" dataDxfId="38" dataCellStyle="쉼표 [0]"/>
    <tableColumn id="80" xr3:uid="{703B5413-5C8C-C745-9B50-9DB33752DF42}" name="품목9" dataDxfId="37" dataCellStyle="쉼표 [0]"/>
    <tableColumn id="81" xr3:uid="{CDAB4E25-6A91-DA42-8A39-F8154444CD0E}" name="규격9" dataDxfId="36" dataCellStyle="쉼표 [0]"/>
    <tableColumn id="82" xr3:uid="{D7441A86-684A-0C4F-9563-541111AF4755}" name="수량9" dataDxfId="35" dataCellStyle="쉼표 [0]"/>
    <tableColumn id="83" xr3:uid="{BCAC4660-E66A-294D-AA13-70E98839F562}" name="단위9" dataDxfId="34" dataCellStyle="쉼표 [0]"/>
    <tableColumn id="84" xr3:uid="{D2BABD0B-F13A-B74B-990A-EE03EA8F92E1}" name="단가9" dataDxfId="33" dataCellStyle="쉼표 [0]"/>
    <tableColumn id="85" xr3:uid="{9DC4AF87-4B71-C942-8BD5-828275816F14}" name="공급가액9" dataDxfId="32" dataCellStyle="쉼표 [0]"/>
    <tableColumn id="86" xr3:uid="{6DFC73E4-F6A0-6049-8513-25382ABF2DED}" name="세액9" dataDxfId="31" dataCellStyle="쉼표 [0]"/>
    <tableColumn id="87" xr3:uid="{7A0BC83B-347E-B84A-A654-E6FFC0DC5E9B}" name="합계9" dataDxfId="30" dataCellStyle="쉼표 [0]"/>
    <tableColumn id="88" xr3:uid="{C11CBB2F-1D45-4E41-8EFB-B6275DDA1FC4}" name="비고9" dataDxfId="29" dataCellStyle="쉼표 [0]"/>
    <tableColumn id="112" xr3:uid="{BD0128E0-D9D9-F349-B52A-1C4746C2D4B6}" name="참조번호10" dataDxfId="28" dataCellStyle="쉼표 [0]"/>
    <tableColumn id="89" xr3:uid="{A3EA64C1-A48A-594A-927A-E92BF7F764DC}" name="품목10" dataDxfId="27" dataCellStyle="쉼표 [0]"/>
    <tableColumn id="90" xr3:uid="{A3B69244-362F-6D45-A90B-6CA93D432C44}" name="규격10" dataDxfId="26" dataCellStyle="쉼표 [0]"/>
    <tableColumn id="91" xr3:uid="{80292156-2F7D-604D-81B9-3EA74C165B95}" name="수량10" dataDxfId="25" dataCellStyle="쉼표 [0]"/>
    <tableColumn id="92" xr3:uid="{4569C3B2-C167-9541-9E6D-B0508CD00205}" name="단위10" dataDxfId="24" dataCellStyle="쉼표 [0]"/>
    <tableColumn id="93" xr3:uid="{3B7FBF7D-471D-EA4F-8403-08E992481D64}" name="단가10" dataDxfId="23" dataCellStyle="쉼표 [0]"/>
    <tableColumn id="94" xr3:uid="{07B20C99-5475-7F47-BE94-824AAFAAFAB4}" name="공급가액10" dataDxfId="22" dataCellStyle="쉼표 [0]"/>
    <tableColumn id="95" xr3:uid="{9BB5CF46-B961-394E-B2EB-3703DAC79DC0}" name="세액10" dataDxfId="21" dataCellStyle="쉼표 [0]"/>
    <tableColumn id="96" xr3:uid="{4543A959-2CFF-B048-8CC4-9D23844FA120}" name="합계10" dataDxfId="20" dataCellStyle="쉼표 [0]"/>
    <tableColumn id="97" xr3:uid="{43525318-0EBE-0E4E-9F34-1EF359626A08}" name="비고10" dataDxfId="19" dataCellStyle="쉼표 [0]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82FA34-6392-C141-B3BE-BFDAE3BBEFB7}" name="상세데이터" displayName="상세데이터" ref="A1:Q81" insertRowShift="1" totalsRowShown="0" headerRowDxfId="18" tableBorderDxfId="17" headerRowCellStyle="쉼표 [0]">
  <autoFilter ref="A1:Q81" xr:uid="{431F49E1-C3B5-EC43-ABC2-0E47DD20E18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7DF8D3E6-CAA1-2844-A39E-BAD6A6591B47}" name="참조번호" dataDxfId="16"/>
    <tableColumn id="2" xr3:uid="{EADD05F0-B144-4D44-BDBC-D776395ABE26}" name="거래명세서 번호" dataDxfId="15"/>
    <tableColumn id="3" xr3:uid="{FD03FA68-C42A-6648-8255-426FCFA6BDC0}" name="거래일시" dataDxfId="14"/>
    <tableColumn id="4" xr3:uid="{60478563-EB79-744A-A354-A6834A5A930E}" name="분기" dataDxfId="13"/>
    <tableColumn id="5" xr3:uid="{7FB249E6-5603-3747-8A92-125714AE6274}" name="년" dataDxfId="12"/>
    <tableColumn id="6" xr3:uid="{FD64DE12-2E81-0044-AF2B-2AE844EDBB25}" name="월" dataDxfId="11"/>
    <tableColumn id="7" xr3:uid="{B3D93AF5-F6B9-A04A-BDFB-21F377AB8378}" name="일" dataDxfId="10"/>
    <tableColumn id="8" xr3:uid="{D885654F-EC47-9546-B0E3-EC3333876099}" name="상호" dataDxfId="9"/>
    <tableColumn id="9" xr3:uid="{D872E62F-8E95-7F40-A49F-231DE2C4E4DB}" name="품목" dataDxfId="8"/>
    <tableColumn id="10" xr3:uid="{5465A68C-05B8-3F40-BEE5-97AABB3E698A}" name="규격" dataDxfId="7"/>
    <tableColumn id="11" xr3:uid="{833F2949-5D7E-F147-8A9D-985FFA341280}" name="수량" dataDxfId="6" dataCellStyle="쉼표 [0]"/>
    <tableColumn id="12" xr3:uid="{E549012D-EE09-D64A-A2F2-F174873E784D}" name="단위" dataDxfId="5"/>
    <tableColumn id="13" xr3:uid="{5931ABC7-76DD-4B46-AA6F-6F91D3BA1056}" name="단가" dataDxfId="4" dataCellStyle="쉼표 [0]"/>
    <tableColumn id="14" xr3:uid="{A5BEC0A4-CB41-9C43-954F-74197519F0C5}" name="공급가액" dataDxfId="3" dataCellStyle="쉼표 [0]"/>
    <tableColumn id="15" xr3:uid="{51238B44-4930-734C-B5B0-24600CA8F751}" name="세액" dataDxfId="2" dataCellStyle="쉼표 [0]"/>
    <tableColumn id="16" xr3:uid="{6268D355-E91C-FC43-A84C-5A84C90A1C03}" name="합계" dataDxfId="1" dataCellStyle="쉼표 [0]"/>
    <tableColumn id="17" xr3:uid="{50C38019-D1C3-C34E-915D-98B42F20A710}" name="비고" dataDxfId="0" dataCellStyle="쉼표 [0]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57"/>
  <sheetViews>
    <sheetView tabSelected="1" zoomScaleNormal="100" workbookViewId="0">
      <selection activeCell="T18" sqref="T18"/>
    </sheetView>
  </sheetViews>
  <sheetFormatPr baseColWidth="10" defaultRowHeight="15"/>
  <cols>
    <col min="1" max="1" width="2.83203125" style="4" customWidth="1"/>
    <col min="2" max="2" width="4.33203125" style="4" bestFit="1" customWidth="1"/>
    <col min="3" max="3" width="10.83203125" style="4"/>
    <col min="4" max="4" width="10.83203125" style="4" customWidth="1"/>
    <col min="5" max="6" width="5.83203125" style="4" customWidth="1"/>
    <col min="7" max="7" width="12" style="4" bestFit="1" customWidth="1"/>
    <col min="8" max="8" width="10.83203125" style="4"/>
    <col min="9" max="9" width="10.83203125" style="4" customWidth="1"/>
    <col min="10" max="10" width="3.83203125" style="4" customWidth="1"/>
    <col min="11" max="11" width="7.83203125" style="4" customWidth="1"/>
    <col min="12" max="12" width="3.83203125" style="4" customWidth="1"/>
    <col min="13" max="13" width="15.83203125" style="4" customWidth="1"/>
    <col min="14" max="15" width="3.83203125" style="4" customWidth="1"/>
    <col min="16" max="16" width="7.83203125" style="4" customWidth="1"/>
    <col min="17" max="17" width="17.5" style="4" bestFit="1" customWidth="1"/>
    <col min="18" max="18" width="2.83203125" style="4" customWidth="1"/>
    <col min="19" max="19" width="2.83203125" style="85" customWidth="1"/>
    <col min="20" max="21" width="10.83203125" style="4"/>
    <col min="22" max="22" width="1" style="4" customWidth="1"/>
    <col min="23" max="24" width="10.83203125" style="4"/>
    <col min="25" max="26" width="2.83203125" style="4" customWidth="1"/>
    <col min="27" max="28" width="10.83203125" style="4" customWidth="1"/>
    <col min="29" max="29" width="4" style="4" customWidth="1"/>
    <col min="30" max="31" width="10.83203125" style="4" customWidth="1"/>
    <col min="32" max="16384" width="10.83203125" style="4"/>
  </cols>
  <sheetData>
    <row r="1" spans="1:31" ht="20" customHeight="1">
      <c r="B1" s="26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S1" s="85">
        <v>19</v>
      </c>
      <c r="AB1" s="83"/>
    </row>
    <row r="2" spans="1:31" ht="20" customHeight="1">
      <c r="A2" s="26"/>
      <c r="B2" s="29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1"/>
      <c r="AA2" s="84" t="s">
        <v>172</v>
      </c>
      <c r="AB2" s="109"/>
      <c r="AC2" s="83"/>
      <c r="AD2" s="84" t="s">
        <v>186</v>
      </c>
    </row>
    <row r="3" spans="1:31" ht="20" customHeight="1">
      <c r="A3" s="26"/>
      <c r="B3" s="32"/>
      <c r="C3" s="7"/>
      <c r="D3" s="7"/>
      <c r="E3" s="7"/>
      <c r="F3" s="7"/>
      <c r="G3" s="263" t="s">
        <v>197</v>
      </c>
      <c r="H3" s="263"/>
      <c r="I3" s="263"/>
      <c r="J3" s="263"/>
      <c r="K3" s="263"/>
      <c r="L3" s="263"/>
      <c r="M3" s="263"/>
      <c r="N3" s="7"/>
      <c r="O3" s="7"/>
      <c r="P3" s="7"/>
      <c r="Q3" s="8"/>
      <c r="U3" s="62"/>
      <c r="AA3" s="107" t="s">
        <v>72</v>
      </c>
      <c r="AB3" s="84" t="str">
        <f ca="1">ROUNDUP(MONTH(Q5)/3,0)&amp;"Q"</f>
        <v>4Q</v>
      </c>
      <c r="AD3" s="107" t="s">
        <v>193</v>
      </c>
      <c r="AE3" s="104" t="s">
        <v>185</v>
      </c>
    </row>
    <row r="4" spans="1:31" ht="20" customHeight="1">
      <c r="A4" s="26"/>
      <c r="B4" s="32"/>
      <c r="C4" s="7"/>
      <c r="D4" s="7"/>
      <c r="E4" s="7"/>
      <c r="F4" s="7"/>
      <c r="G4" s="263"/>
      <c r="H4" s="263"/>
      <c r="I4" s="263"/>
      <c r="J4" s="263"/>
      <c r="K4" s="263"/>
      <c r="L4" s="263"/>
      <c r="M4" s="263"/>
      <c r="N4" s="7"/>
      <c r="O4" s="7"/>
      <c r="P4" s="7"/>
      <c r="Q4" s="8"/>
      <c r="T4" s="62"/>
      <c r="U4" s="62"/>
      <c r="AA4" s="107" t="s">
        <v>73</v>
      </c>
      <c r="AB4" s="106">
        <f ca="1">YEAR(Q5)</f>
        <v>2018</v>
      </c>
      <c r="AD4" s="107" t="s">
        <v>191</v>
      </c>
      <c r="AE4" s="106">
        <f>IFERROR(IF(VLOOKUP(D5, 데이터[], 1, FALSE),1,0),0)</f>
        <v>0</v>
      </c>
    </row>
    <row r="5" spans="1:31" ht="20" customHeight="1">
      <c r="A5" s="26"/>
      <c r="B5" s="265" t="s">
        <v>18</v>
      </c>
      <c r="C5" s="266"/>
      <c r="D5" s="110">
        <v>1</v>
      </c>
      <c r="E5" s="5"/>
      <c r="F5" s="5"/>
      <c r="G5" s="48"/>
      <c r="H5" s="48"/>
      <c r="I5" s="48"/>
      <c r="J5" s="48"/>
      <c r="K5" s="48"/>
      <c r="L5" s="48"/>
      <c r="M5" s="100"/>
      <c r="N5" s="101"/>
      <c r="O5" s="102"/>
      <c r="P5" s="102"/>
      <c r="Q5" s="47">
        <f ca="1">TODAY()</f>
        <v>43458</v>
      </c>
      <c r="AA5" s="107" t="s">
        <v>74</v>
      </c>
      <c r="AB5" s="106">
        <f ca="1">MONTH(Q5)</f>
        <v>12</v>
      </c>
      <c r="AC5" s="83"/>
      <c r="AD5" s="107" t="s">
        <v>20</v>
      </c>
      <c r="AE5" s="106">
        <f>IFERROR(IF(OR(M7=""),0,1),0)</f>
        <v>0</v>
      </c>
    </row>
    <row r="6" spans="1:31" ht="20" customHeight="1">
      <c r="A6" s="6"/>
      <c r="B6" s="190" t="s">
        <v>45</v>
      </c>
      <c r="C6" s="28" t="s">
        <v>19</v>
      </c>
      <c r="D6" s="186" t="s">
        <v>199</v>
      </c>
      <c r="E6" s="186"/>
      <c r="F6" s="186"/>
      <c r="G6" s="186"/>
      <c r="H6" s="186"/>
      <c r="I6" s="186"/>
      <c r="J6" s="190" t="s">
        <v>23</v>
      </c>
      <c r="K6" s="192" t="s">
        <v>19</v>
      </c>
      <c r="L6" s="192"/>
      <c r="M6" s="182" t="str">
        <f>IF($M$7="","",VLOOKUP(M7,거래처[],3,FALSE))</f>
        <v/>
      </c>
      <c r="N6" s="183"/>
      <c r="O6" s="183"/>
      <c r="P6" s="183"/>
      <c r="Q6" s="184"/>
      <c r="AA6" s="107" t="s">
        <v>75</v>
      </c>
      <c r="AB6" s="106">
        <f ca="1">DAY(Q5)</f>
        <v>24</v>
      </c>
      <c r="AD6" s="107" t="s">
        <v>28</v>
      </c>
      <c r="AE6" s="106">
        <f>IFERROR(IF(OR(C12="",SUM(M12:P12)=0),0,1),0)</f>
        <v>0</v>
      </c>
    </row>
    <row r="7" spans="1:31" ht="20" customHeight="1">
      <c r="A7" s="6"/>
      <c r="B7" s="191"/>
      <c r="C7" s="2" t="s">
        <v>20</v>
      </c>
      <c r="D7" s="185" t="s">
        <v>200</v>
      </c>
      <c r="E7" s="185"/>
      <c r="F7" s="185"/>
      <c r="G7" s="2" t="s">
        <v>22</v>
      </c>
      <c r="H7" s="185" t="s">
        <v>201</v>
      </c>
      <c r="I7" s="185"/>
      <c r="J7" s="191"/>
      <c r="K7" s="193" t="s">
        <v>20</v>
      </c>
      <c r="L7" s="193"/>
      <c r="M7" s="182"/>
      <c r="N7" s="184"/>
      <c r="O7" s="193" t="s">
        <v>22</v>
      </c>
      <c r="P7" s="193"/>
      <c r="Q7" s="139" t="str">
        <f>IF($M$7="","",VLOOKUP(M7,거래처[],5,FALSE))</f>
        <v/>
      </c>
    </row>
    <row r="8" spans="1:31" ht="40" customHeight="1">
      <c r="A8" s="6"/>
      <c r="B8" s="191"/>
      <c r="C8" s="2" t="s">
        <v>21</v>
      </c>
      <c r="D8" s="185" t="s">
        <v>202</v>
      </c>
      <c r="E8" s="185"/>
      <c r="F8" s="185"/>
      <c r="G8" s="185"/>
      <c r="H8" s="185"/>
      <c r="I8" s="185"/>
      <c r="J8" s="191"/>
      <c r="K8" s="193" t="s">
        <v>21</v>
      </c>
      <c r="L8" s="193"/>
      <c r="M8" s="187" t="str">
        <f>IF($M$7="","",VLOOKUP(M7,거래처[],6,FALSE))</f>
        <v/>
      </c>
      <c r="N8" s="188"/>
      <c r="O8" s="188"/>
      <c r="P8" s="188"/>
      <c r="Q8" s="189"/>
    </row>
    <row r="9" spans="1:31" ht="40" customHeight="1">
      <c r="A9" s="6"/>
      <c r="B9" s="191"/>
      <c r="C9" s="2" t="s">
        <v>24</v>
      </c>
      <c r="D9" s="185" t="s">
        <v>201</v>
      </c>
      <c r="E9" s="185"/>
      <c r="F9" s="185"/>
      <c r="G9" s="2" t="s">
        <v>26</v>
      </c>
      <c r="H9" s="194" t="s">
        <v>203</v>
      </c>
      <c r="I9" s="194"/>
      <c r="J9" s="191"/>
      <c r="K9" s="193" t="s">
        <v>24</v>
      </c>
      <c r="L9" s="193"/>
      <c r="M9" s="187" t="str">
        <f>IF($M$7="","",VLOOKUP(M7,거래처[],7,FALSE))</f>
        <v/>
      </c>
      <c r="N9" s="189"/>
      <c r="O9" s="193" t="s">
        <v>26</v>
      </c>
      <c r="P9" s="193"/>
      <c r="Q9" s="140" t="str">
        <f>IF($M$7="","",VLOOKUP(M7,거래처[],8,FALSE))</f>
        <v/>
      </c>
      <c r="U9" s="55"/>
      <c r="W9" s="86"/>
      <c r="X9" s="55"/>
      <c r="Y9" s="83"/>
    </row>
    <row r="10" spans="1:31" ht="20" customHeight="1">
      <c r="A10" s="6"/>
      <c r="B10" s="191"/>
      <c r="C10" s="2" t="s">
        <v>25</v>
      </c>
      <c r="D10" s="185" t="s">
        <v>204</v>
      </c>
      <c r="E10" s="185"/>
      <c r="F10" s="185"/>
      <c r="G10" s="2" t="s">
        <v>27</v>
      </c>
      <c r="H10" s="185" t="s">
        <v>204</v>
      </c>
      <c r="I10" s="185"/>
      <c r="J10" s="191"/>
      <c r="K10" s="193" t="s">
        <v>25</v>
      </c>
      <c r="L10" s="193"/>
      <c r="M10" s="182" t="str">
        <f>IF($M$7="","",VLOOKUP(M7,거래처[],11,FALSE))</f>
        <v/>
      </c>
      <c r="N10" s="184"/>
      <c r="O10" s="193" t="s">
        <v>27</v>
      </c>
      <c r="P10" s="193"/>
      <c r="Q10" s="139" t="str">
        <f>IF($M$7="","",VLOOKUP(M7,거래처[],13,FALSE))</f>
        <v/>
      </c>
      <c r="T10" s="55"/>
      <c r="U10" s="55"/>
      <c r="W10" s="55"/>
      <c r="X10" s="55"/>
      <c r="Y10" s="83"/>
      <c r="AA10" s="84" t="s">
        <v>173</v>
      </c>
      <c r="AB10" s="108"/>
    </row>
    <row r="11" spans="1:31" ht="20" customHeight="1">
      <c r="A11" s="6"/>
      <c r="B11" s="2" t="s">
        <v>40</v>
      </c>
      <c r="C11" s="193" t="s">
        <v>28</v>
      </c>
      <c r="D11" s="193"/>
      <c r="E11" s="193"/>
      <c r="F11" s="193" t="s">
        <v>29</v>
      </c>
      <c r="G11" s="193"/>
      <c r="H11" s="2" t="s">
        <v>30</v>
      </c>
      <c r="I11" s="2" t="s">
        <v>31</v>
      </c>
      <c r="J11" s="193" t="s">
        <v>32</v>
      </c>
      <c r="K11" s="193"/>
      <c r="L11" s="193"/>
      <c r="M11" s="2" t="s">
        <v>33</v>
      </c>
      <c r="N11" s="193" t="s">
        <v>34</v>
      </c>
      <c r="O11" s="193"/>
      <c r="P11" s="193"/>
      <c r="Q11" s="2" t="s">
        <v>35</v>
      </c>
      <c r="R11" s="96"/>
      <c r="S11" s="96"/>
      <c r="U11" s="97"/>
      <c r="V11" s="138"/>
      <c r="W11" s="55"/>
      <c r="X11" s="55"/>
      <c r="Y11" s="83"/>
      <c r="Z11" s="55"/>
      <c r="AA11" s="107" t="s">
        <v>171</v>
      </c>
      <c r="AB11" s="107" t="s">
        <v>78</v>
      </c>
      <c r="AC11" s="83"/>
    </row>
    <row r="12" spans="1:31" ht="20" customHeight="1">
      <c r="A12" s="6"/>
      <c r="B12" s="10" t="str">
        <f t="shared" ref="B12:B21" si="0">IF(C12="","",ROW()-11)</f>
        <v/>
      </c>
      <c r="C12" s="182"/>
      <c r="D12" s="183"/>
      <c r="E12" s="184"/>
      <c r="F12" s="182"/>
      <c r="G12" s="184"/>
      <c r="H12" s="84"/>
      <c r="I12" s="84"/>
      <c r="J12" s="164"/>
      <c r="K12" s="165"/>
      <c r="L12" s="166"/>
      <c r="M12" s="1" t="str">
        <f t="shared" ref="M12:M21" si="1">IFERROR(IF(H12*J12,H12*J12,""),"")</f>
        <v/>
      </c>
      <c r="N12" s="195" t="str">
        <f t="shared" ref="N12:N21" si="2">IFERROR(IF(M12,M12*0.1,""),"")</f>
        <v/>
      </c>
      <c r="O12" s="196"/>
      <c r="P12" s="197"/>
      <c r="Q12" s="3"/>
      <c r="R12" s="96"/>
      <c r="S12" s="98"/>
      <c r="T12" s="92"/>
      <c r="U12" s="97"/>
      <c r="V12" s="138"/>
      <c r="W12" s="55"/>
      <c r="X12" s="55"/>
      <c r="Y12" s="83"/>
      <c r="Z12" s="55"/>
      <c r="AA12" s="105">
        <f t="shared" ref="AA12:AA19" si="3">VALUE($D$5&amp;"0"&amp;ROW()-11)</f>
        <v>101</v>
      </c>
      <c r="AB12" s="104" t="str">
        <f t="shared" ref="AB12:AB21" si="4">IF(SUM(M12:P12)=0,"",SUM(M12:P12))</f>
        <v/>
      </c>
    </row>
    <row r="13" spans="1:31" ht="20" customHeight="1">
      <c r="A13" s="6"/>
      <c r="B13" s="10" t="str">
        <f t="shared" si="0"/>
        <v/>
      </c>
      <c r="C13" s="182"/>
      <c r="D13" s="183"/>
      <c r="E13" s="184"/>
      <c r="F13" s="182"/>
      <c r="G13" s="184"/>
      <c r="H13" s="84"/>
      <c r="I13" s="84"/>
      <c r="J13" s="164"/>
      <c r="K13" s="165"/>
      <c r="L13" s="166"/>
      <c r="M13" s="1" t="str">
        <f t="shared" si="1"/>
        <v/>
      </c>
      <c r="N13" s="195" t="str">
        <f t="shared" si="2"/>
        <v/>
      </c>
      <c r="O13" s="196"/>
      <c r="P13" s="197"/>
      <c r="Q13" s="137"/>
      <c r="R13" s="96"/>
      <c r="S13" s="98"/>
      <c r="U13" s="123"/>
      <c r="V13" s="138"/>
      <c r="W13" s="55"/>
      <c r="X13" s="55"/>
      <c r="Y13" s="83"/>
      <c r="Z13" s="55"/>
      <c r="AA13" s="105">
        <f t="shared" si="3"/>
        <v>102</v>
      </c>
      <c r="AB13" s="104" t="str">
        <f t="shared" si="4"/>
        <v/>
      </c>
    </row>
    <row r="14" spans="1:31" ht="20" customHeight="1">
      <c r="A14" s="6"/>
      <c r="B14" s="10" t="str">
        <f t="shared" si="0"/>
        <v/>
      </c>
      <c r="C14" s="182"/>
      <c r="D14" s="183"/>
      <c r="E14" s="184"/>
      <c r="F14" s="182"/>
      <c r="G14" s="184"/>
      <c r="H14" s="84"/>
      <c r="I14" s="84"/>
      <c r="J14" s="164"/>
      <c r="K14" s="165"/>
      <c r="L14" s="166"/>
      <c r="M14" s="1" t="str">
        <f t="shared" si="1"/>
        <v/>
      </c>
      <c r="N14" s="195" t="str">
        <f t="shared" si="2"/>
        <v/>
      </c>
      <c r="O14" s="196"/>
      <c r="P14" s="197"/>
      <c r="Q14" s="137"/>
      <c r="R14" s="96"/>
      <c r="S14" s="98"/>
      <c r="T14" s="97"/>
      <c r="V14" s="103"/>
      <c r="X14" s="55"/>
      <c r="Y14" s="83"/>
      <c r="Z14" s="103"/>
      <c r="AA14" s="105">
        <f t="shared" si="3"/>
        <v>103</v>
      </c>
      <c r="AB14" s="104" t="str">
        <f t="shared" si="4"/>
        <v/>
      </c>
      <c r="AC14" s="83"/>
    </row>
    <row r="15" spans="1:31" ht="20" customHeight="1">
      <c r="A15" s="6"/>
      <c r="B15" s="10" t="str">
        <f t="shared" si="0"/>
        <v/>
      </c>
      <c r="C15" s="182"/>
      <c r="D15" s="183"/>
      <c r="E15" s="184"/>
      <c r="F15" s="182"/>
      <c r="G15" s="184"/>
      <c r="H15" s="84"/>
      <c r="I15" s="84"/>
      <c r="J15" s="164"/>
      <c r="K15" s="165"/>
      <c r="L15" s="166"/>
      <c r="M15" s="1" t="str">
        <f t="shared" si="1"/>
        <v/>
      </c>
      <c r="N15" s="195" t="str">
        <f t="shared" si="2"/>
        <v/>
      </c>
      <c r="O15" s="196"/>
      <c r="P15" s="197"/>
      <c r="Q15" s="137"/>
      <c r="R15" s="96"/>
      <c r="S15" s="98"/>
      <c r="T15" s="97"/>
      <c r="V15" s="138"/>
      <c r="X15" s="55"/>
      <c r="Y15" s="83"/>
      <c r="Z15" s="55"/>
      <c r="AA15" s="105">
        <f t="shared" si="3"/>
        <v>104</v>
      </c>
      <c r="AB15" s="104" t="str">
        <f t="shared" si="4"/>
        <v/>
      </c>
    </row>
    <row r="16" spans="1:31" ht="20" customHeight="1">
      <c r="A16" s="6"/>
      <c r="B16" s="10" t="str">
        <f t="shared" si="0"/>
        <v/>
      </c>
      <c r="C16" s="182"/>
      <c r="D16" s="183"/>
      <c r="E16" s="184"/>
      <c r="F16" s="182"/>
      <c r="G16" s="184"/>
      <c r="H16" s="84"/>
      <c r="I16" s="84"/>
      <c r="J16" s="164"/>
      <c r="K16" s="165"/>
      <c r="L16" s="166"/>
      <c r="M16" s="1" t="str">
        <f t="shared" si="1"/>
        <v/>
      </c>
      <c r="N16" s="195" t="str">
        <f t="shared" si="2"/>
        <v/>
      </c>
      <c r="O16" s="196"/>
      <c r="P16" s="197"/>
      <c r="Q16" s="137"/>
      <c r="R16" s="96"/>
      <c r="S16" s="98"/>
      <c r="T16" s="96"/>
      <c r="U16" s="96"/>
      <c r="V16" s="138"/>
      <c r="Z16" s="55"/>
      <c r="AA16" s="105">
        <f t="shared" si="3"/>
        <v>105</v>
      </c>
      <c r="AB16" s="104" t="str">
        <f t="shared" si="4"/>
        <v/>
      </c>
    </row>
    <row r="17" spans="1:29" ht="20" customHeight="1">
      <c r="A17" s="6"/>
      <c r="B17" s="10" t="str">
        <f t="shared" si="0"/>
        <v/>
      </c>
      <c r="C17" s="182"/>
      <c r="D17" s="183"/>
      <c r="E17" s="184"/>
      <c r="F17" s="182"/>
      <c r="G17" s="184"/>
      <c r="H17" s="84"/>
      <c r="I17" s="84"/>
      <c r="J17" s="164"/>
      <c r="K17" s="165"/>
      <c r="L17" s="166"/>
      <c r="M17" s="1" t="str">
        <f t="shared" si="1"/>
        <v/>
      </c>
      <c r="N17" s="195" t="str">
        <f t="shared" si="2"/>
        <v/>
      </c>
      <c r="O17" s="196"/>
      <c r="P17" s="197"/>
      <c r="Q17" s="119"/>
      <c r="R17" s="96"/>
      <c r="S17" s="98"/>
      <c r="T17" s="96"/>
      <c r="U17" s="96"/>
      <c r="V17" s="138"/>
      <c r="Z17" s="55"/>
      <c r="AA17" s="105">
        <f t="shared" si="3"/>
        <v>106</v>
      </c>
      <c r="AB17" s="104" t="str">
        <f t="shared" si="4"/>
        <v/>
      </c>
      <c r="AC17" s="83"/>
    </row>
    <row r="18" spans="1:29" ht="20" customHeight="1">
      <c r="A18" s="6"/>
      <c r="B18" s="10" t="str">
        <f t="shared" si="0"/>
        <v/>
      </c>
      <c r="C18" s="182"/>
      <c r="D18" s="183"/>
      <c r="E18" s="184"/>
      <c r="F18" s="182"/>
      <c r="G18" s="184"/>
      <c r="H18" s="84"/>
      <c r="I18" s="84"/>
      <c r="J18" s="164"/>
      <c r="K18" s="165"/>
      <c r="L18" s="166"/>
      <c r="M18" s="1" t="str">
        <f t="shared" si="1"/>
        <v/>
      </c>
      <c r="N18" s="195" t="str">
        <f t="shared" si="2"/>
        <v/>
      </c>
      <c r="O18" s="196"/>
      <c r="P18" s="197"/>
      <c r="Q18" s="119"/>
      <c r="R18" s="96"/>
      <c r="S18" s="98"/>
      <c r="T18" s="96"/>
      <c r="U18" s="96"/>
      <c r="AA18" s="105">
        <f t="shared" si="3"/>
        <v>107</v>
      </c>
      <c r="AB18" s="104" t="str">
        <f t="shared" si="4"/>
        <v/>
      </c>
    </row>
    <row r="19" spans="1:29" ht="20" customHeight="1">
      <c r="A19" s="6"/>
      <c r="B19" s="10" t="str">
        <f t="shared" si="0"/>
        <v/>
      </c>
      <c r="C19" s="182"/>
      <c r="D19" s="183"/>
      <c r="E19" s="184"/>
      <c r="F19" s="182"/>
      <c r="G19" s="184"/>
      <c r="H19" s="84"/>
      <c r="I19" s="84"/>
      <c r="J19" s="164"/>
      <c r="K19" s="165"/>
      <c r="L19" s="166"/>
      <c r="M19" s="1" t="str">
        <f t="shared" si="1"/>
        <v/>
      </c>
      <c r="N19" s="195" t="str">
        <f t="shared" si="2"/>
        <v/>
      </c>
      <c r="O19" s="196"/>
      <c r="P19" s="197"/>
      <c r="Q19" s="119"/>
      <c r="R19" s="96"/>
      <c r="S19" s="98"/>
      <c r="T19" s="96"/>
      <c r="U19" s="96"/>
      <c r="AA19" s="105">
        <f t="shared" si="3"/>
        <v>108</v>
      </c>
      <c r="AB19" s="104" t="str">
        <f t="shared" si="4"/>
        <v/>
      </c>
    </row>
    <row r="20" spans="1:29" ht="20" customHeight="1">
      <c r="A20" s="6"/>
      <c r="B20" s="10" t="str">
        <f t="shared" si="0"/>
        <v/>
      </c>
      <c r="C20" s="182"/>
      <c r="D20" s="183"/>
      <c r="E20" s="184"/>
      <c r="F20" s="182"/>
      <c r="G20" s="184"/>
      <c r="H20" s="84"/>
      <c r="I20" s="84"/>
      <c r="J20" s="164"/>
      <c r="K20" s="165"/>
      <c r="L20" s="166"/>
      <c r="M20" s="1" t="str">
        <f t="shared" si="1"/>
        <v/>
      </c>
      <c r="N20" s="195" t="str">
        <f t="shared" si="2"/>
        <v/>
      </c>
      <c r="O20" s="196"/>
      <c r="P20" s="197"/>
      <c r="Q20" s="119"/>
      <c r="R20" s="96"/>
      <c r="S20" s="98"/>
      <c r="T20" s="98"/>
      <c r="U20" s="96"/>
      <c r="AA20" s="105">
        <f t="shared" ref="AA20" si="5">VALUE($D$5&amp;"0"&amp;ROW()-11)</f>
        <v>109</v>
      </c>
      <c r="AB20" s="104" t="str">
        <f t="shared" si="4"/>
        <v/>
      </c>
      <c r="AC20" s="83"/>
    </row>
    <row r="21" spans="1:29" ht="20" customHeight="1">
      <c r="A21" s="6"/>
      <c r="B21" s="10" t="str">
        <f t="shared" si="0"/>
        <v/>
      </c>
      <c r="C21" s="182"/>
      <c r="D21" s="183"/>
      <c r="E21" s="184"/>
      <c r="F21" s="182"/>
      <c r="G21" s="184"/>
      <c r="H21" s="84"/>
      <c r="I21" s="84"/>
      <c r="J21" s="164"/>
      <c r="K21" s="165"/>
      <c r="L21" s="166"/>
      <c r="M21" s="1" t="str">
        <f t="shared" si="1"/>
        <v/>
      </c>
      <c r="N21" s="195" t="str">
        <f t="shared" si="2"/>
        <v/>
      </c>
      <c r="O21" s="196"/>
      <c r="P21" s="197"/>
      <c r="Q21" s="119"/>
      <c r="R21" s="96"/>
      <c r="S21" s="98"/>
      <c r="T21" s="96"/>
      <c r="U21" s="96"/>
      <c r="AA21" s="105">
        <f>VALUE($D$5&amp;ROW()-11)</f>
        <v>110</v>
      </c>
      <c r="AB21" s="104" t="str">
        <f t="shared" si="4"/>
        <v/>
      </c>
    </row>
    <row r="22" spans="1:29" ht="20" customHeight="1">
      <c r="A22" s="6"/>
      <c r="B22" s="210" t="s">
        <v>36</v>
      </c>
      <c r="C22" s="210"/>
      <c r="D22" s="210"/>
      <c r="E22" s="210"/>
      <c r="F22" s="210"/>
      <c r="G22" s="210"/>
      <c r="H22" s="210"/>
      <c r="I22" s="210"/>
      <c r="J22" s="229"/>
      <c r="K22" s="229"/>
      <c r="L22" s="229"/>
      <c r="M22" s="22" t="str">
        <f>IF(SUM(M12:M21)=0,"",SUM(M12:M21))</f>
        <v/>
      </c>
      <c r="N22" s="198" t="str">
        <f>IF(SUM(N12:P21)=0,"",SUM(N12:P21))</f>
        <v/>
      </c>
      <c r="O22" s="199"/>
      <c r="P22" s="200"/>
      <c r="Q22" s="23"/>
      <c r="R22" s="96"/>
      <c r="S22" s="99"/>
      <c r="T22" s="96"/>
      <c r="U22" s="96"/>
      <c r="AA22" s="105">
        <f>IF(COUNT(AA12:AA21)=0,"",COUNT(AA12:AA21))</f>
        <v>10</v>
      </c>
      <c r="AB22" s="104" t="str">
        <f>IF(SUM(AB12:AB21)=0,"",SUM(AB12:AB21))</f>
        <v/>
      </c>
    </row>
    <row r="23" spans="1:29" ht="20" customHeight="1">
      <c r="A23" s="6"/>
      <c r="B23" s="210" t="s">
        <v>43</v>
      </c>
      <c r="C23" s="210"/>
      <c r="D23" s="210"/>
      <c r="E23" s="210"/>
      <c r="F23" s="210"/>
      <c r="G23" s="210"/>
      <c r="H23" s="210"/>
      <c r="I23" s="210"/>
      <c r="J23" s="254" t="str">
        <f>IF(SUM(M22:P22)=0,"",SUM(M22:P22))</f>
        <v/>
      </c>
      <c r="K23" s="255"/>
      <c r="L23" s="255"/>
      <c r="M23" s="255"/>
      <c r="N23" s="255"/>
      <c r="O23" s="255"/>
      <c r="P23" s="255"/>
      <c r="Q23" s="256"/>
      <c r="R23" s="96"/>
      <c r="S23" s="96"/>
      <c r="T23" s="96"/>
      <c r="U23" s="96"/>
      <c r="AC23" s="136"/>
    </row>
    <row r="24" spans="1:29" ht="20" customHeight="1">
      <c r="A24" s="6"/>
      <c r="B24" s="191" t="s">
        <v>37</v>
      </c>
      <c r="C24" s="211"/>
      <c r="D24" s="212"/>
      <c r="E24" s="212"/>
      <c r="F24" s="212"/>
      <c r="G24" s="212"/>
      <c r="H24" s="212"/>
      <c r="I24" s="213"/>
      <c r="J24" s="191" t="s">
        <v>38</v>
      </c>
      <c r="K24" s="220"/>
      <c r="L24" s="221"/>
      <c r="M24" s="222"/>
      <c r="N24" s="191" t="s">
        <v>39</v>
      </c>
      <c r="O24" s="201"/>
      <c r="P24" s="202"/>
      <c r="Q24" s="203"/>
      <c r="R24" s="96"/>
      <c r="S24" s="96"/>
      <c r="T24" s="96"/>
      <c r="U24" s="96"/>
    </row>
    <row r="25" spans="1:29" ht="20" customHeight="1">
      <c r="A25" s="6"/>
      <c r="B25" s="191"/>
      <c r="C25" s="214"/>
      <c r="D25" s="215"/>
      <c r="E25" s="215"/>
      <c r="F25" s="215"/>
      <c r="G25" s="215"/>
      <c r="H25" s="215"/>
      <c r="I25" s="216"/>
      <c r="J25" s="191"/>
      <c r="K25" s="223"/>
      <c r="L25" s="224"/>
      <c r="M25" s="225"/>
      <c r="N25" s="191"/>
      <c r="O25" s="204"/>
      <c r="P25" s="205"/>
      <c r="Q25" s="206"/>
      <c r="R25" s="96"/>
      <c r="S25" s="96"/>
      <c r="T25" s="96"/>
      <c r="U25" s="96"/>
    </row>
    <row r="26" spans="1:29" ht="20" customHeight="1">
      <c r="A26" s="6"/>
      <c r="B26" s="191"/>
      <c r="C26" s="217"/>
      <c r="D26" s="218"/>
      <c r="E26" s="218"/>
      <c r="F26" s="218"/>
      <c r="G26" s="218"/>
      <c r="H26" s="218"/>
      <c r="I26" s="219"/>
      <c r="J26" s="191"/>
      <c r="K26" s="226"/>
      <c r="L26" s="227"/>
      <c r="M26" s="228"/>
      <c r="N26" s="191"/>
      <c r="O26" s="207"/>
      <c r="P26" s="208"/>
      <c r="Q26" s="209"/>
      <c r="R26" s="96"/>
      <c r="S26" s="96"/>
      <c r="T26" s="96"/>
      <c r="U26" s="96"/>
      <c r="AC26" s="136"/>
    </row>
    <row r="27" spans="1:29" ht="20" customHeight="1">
      <c r="B27" s="174" t="s">
        <v>205</v>
      </c>
      <c r="C27" s="174"/>
      <c r="D27" s="174"/>
      <c r="E27" s="174"/>
      <c r="F27" s="174"/>
      <c r="G27" s="174"/>
      <c r="H27" s="174"/>
      <c r="I27" s="174"/>
      <c r="J27" s="174"/>
      <c r="K27" s="174"/>
      <c r="L27" s="174"/>
      <c r="M27" s="174"/>
      <c r="N27" s="174"/>
      <c r="O27" s="174"/>
      <c r="P27" s="174"/>
      <c r="Q27" s="174"/>
    </row>
    <row r="28" spans="1:29" ht="20" customHeight="1">
      <c r="S28" s="4"/>
    </row>
    <row r="29" spans="1:29" ht="10" customHeight="1" thickBot="1">
      <c r="B29" s="167"/>
      <c r="C29" s="167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</row>
    <row r="30" spans="1:29" ht="10" customHeight="1">
      <c r="B30" s="168"/>
      <c r="C30" s="168"/>
      <c r="D30" s="168"/>
      <c r="E30" s="168"/>
      <c r="F30" s="168"/>
      <c r="G30" s="168"/>
      <c r="H30" s="168"/>
      <c r="I30" s="168"/>
      <c r="J30" s="168"/>
      <c r="K30" s="168"/>
      <c r="L30" s="168"/>
      <c r="M30" s="168"/>
      <c r="N30" s="168"/>
      <c r="O30" s="168"/>
      <c r="P30" s="168"/>
      <c r="Q30" s="168"/>
    </row>
    <row r="31" spans="1:29" ht="20" customHeight="1"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 t="str">
        <f>IFERROR(IF(H31*J31,H31*J31,""),"")</f>
        <v/>
      </c>
      <c r="N31" s="9" t="str">
        <f>IFERROR(IF(M31,M31*0.1,""),"")</f>
        <v/>
      </c>
      <c r="O31" s="9"/>
      <c r="P31" s="9"/>
      <c r="Q31" s="9"/>
    </row>
    <row r="32" spans="1:29" ht="20" customHeight="1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3"/>
    </row>
    <row r="33" spans="2:17" ht="20" customHeight="1">
      <c r="B33" s="14"/>
      <c r="C33" s="7"/>
      <c r="D33" s="7"/>
      <c r="E33" s="7"/>
      <c r="F33" s="7"/>
      <c r="G33" s="264" t="s">
        <v>196</v>
      </c>
      <c r="H33" s="264"/>
      <c r="I33" s="264"/>
      <c r="J33" s="264"/>
      <c r="K33" s="264"/>
      <c r="L33" s="264"/>
      <c r="M33" s="264"/>
      <c r="N33" s="7"/>
      <c r="O33" s="7"/>
      <c r="P33" s="7"/>
      <c r="Q33" s="15"/>
    </row>
    <row r="34" spans="2:17" ht="20" customHeight="1">
      <c r="B34" s="14"/>
      <c r="C34" s="7"/>
      <c r="D34" s="7"/>
      <c r="E34" s="7"/>
      <c r="F34" s="7"/>
      <c r="G34" s="264"/>
      <c r="H34" s="264"/>
      <c r="I34" s="264"/>
      <c r="J34" s="264"/>
      <c r="K34" s="264"/>
      <c r="L34" s="264"/>
      <c r="M34" s="264"/>
      <c r="N34" s="7"/>
      <c r="O34" s="7"/>
      <c r="P34" s="7"/>
      <c r="Q34" s="15"/>
    </row>
    <row r="35" spans="2:17" ht="20" customHeight="1">
      <c r="B35" s="267" t="str">
        <f>IF(B5="","",B5)</f>
        <v xml:space="preserve">거래명세서 번호 : </v>
      </c>
      <c r="C35" s="268"/>
      <c r="D35" s="27">
        <f t="shared" ref="D35:D40" si="6">IF(D5="","",D5)</f>
        <v>1</v>
      </c>
      <c r="E35" s="16"/>
      <c r="F35" s="16"/>
      <c r="G35" s="160"/>
      <c r="H35" s="160"/>
      <c r="I35" s="160"/>
      <c r="J35" s="160"/>
      <c r="K35" s="160"/>
      <c r="L35" s="160"/>
      <c r="M35" s="160"/>
      <c r="N35" s="16"/>
      <c r="O35" s="275" t="str">
        <f>IF(O5="","",O5)</f>
        <v/>
      </c>
      <c r="P35" s="275"/>
      <c r="Q35" s="276"/>
    </row>
    <row r="36" spans="2:17" ht="20" customHeight="1">
      <c r="B36" s="171" t="s">
        <v>44</v>
      </c>
      <c r="C36" s="17" t="s">
        <v>41</v>
      </c>
      <c r="D36" s="169" t="str">
        <f t="shared" si="6"/>
        <v>000-00-000000</v>
      </c>
      <c r="E36" s="178"/>
      <c r="F36" s="178"/>
      <c r="G36" s="178"/>
      <c r="H36" s="178"/>
      <c r="I36" s="170"/>
      <c r="J36" s="171" t="s">
        <v>56</v>
      </c>
      <c r="K36" s="155" t="s">
        <v>41</v>
      </c>
      <c r="L36" s="156"/>
      <c r="M36" s="169" t="str">
        <f>IF(M6="","",M6)</f>
        <v/>
      </c>
      <c r="N36" s="178"/>
      <c r="O36" s="178"/>
      <c r="P36" s="178"/>
      <c r="Q36" s="170"/>
    </row>
    <row r="37" spans="2:17" ht="20" customHeight="1">
      <c r="B37" s="172"/>
      <c r="C37" s="17" t="s">
        <v>0</v>
      </c>
      <c r="D37" s="169" t="str">
        <f t="shared" si="6"/>
        <v>OOOO</v>
      </c>
      <c r="E37" s="178"/>
      <c r="F37" s="170"/>
      <c r="G37" s="17" t="s">
        <v>10</v>
      </c>
      <c r="H37" s="169" t="str">
        <f>IF(H7="","",H7)</f>
        <v>OOO</v>
      </c>
      <c r="I37" s="170"/>
      <c r="J37" s="172"/>
      <c r="K37" s="161" t="s">
        <v>0</v>
      </c>
      <c r="L37" s="163"/>
      <c r="M37" s="169" t="str">
        <f>IF(M7="","",M7)</f>
        <v/>
      </c>
      <c r="N37" s="170"/>
      <c r="O37" s="161" t="s">
        <v>10</v>
      </c>
      <c r="P37" s="163"/>
      <c r="Q37" s="18" t="str">
        <f>IF(Q7="","",Q7)</f>
        <v/>
      </c>
    </row>
    <row r="38" spans="2:17" ht="40" customHeight="1">
      <c r="B38" s="172"/>
      <c r="C38" s="17" t="s">
        <v>46</v>
      </c>
      <c r="D38" s="169" t="str">
        <f t="shared" si="6"/>
        <v>OOOO OOO OOOO OO OO-OO</v>
      </c>
      <c r="E38" s="178"/>
      <c r="F38" s="178"/>
      <c r="G38" s="178"/>
      <c r="H38" s="178"/>
      <c r="I38" s="170"/>
      <c r="J38" s="172"/>
      <c r="K38" s="161" t="s">
        <v>46</v>
      </c>
      <c r="L38" s="163"/>
      <c r="M38" s="179" t="str">
        <f>IF(M8="","",M8)</f>
        <v/>
      </c>
      <c r="N38" s="180"/>
      <c r="O38" s="180"/>
      <c r="P38" s="180"/>
      <c r="Q38" s="181"/>
    </row>
    <row r="39" spans="2:17" ht="40" customHeight="1">
      <c r="B39" s="172"/>
      <c r="C39" s="17" t="s">
        <v>7</v>
      </c>
      <c r="D39" s="169" t="str">
        <f t="shared" si="6"/>
        <v>OOO</v>
      </c>
      <c r="E39" s="178"/>
      <c r="F39" s="170"/>
      <c r="G39" s="17" t="s">
        <v>8</v>
      </c>
      <c r="H39" s="179" t="str">
        <f>IF(H9="","",H9)</f>
        <v>OOOOOO</v>
      </c>
      <c r="I39" s="181"/>
      <c r="J39" s="172"/>
      <c r="K39" s="161" t="s">
        <v>7</v>
      </c>
      <c r="L39" s="163"/>
      <c r="M39" s="179" t="str">
        <f>IF(M9="","",M9)</f>
        <v/>
      </c>
      <c r="N39" s="181"/>
      <c r="O39" s="161" t="s">
        <v>8</v>
      </c>
      <c r="P39" s="163"/>
      <c r="Q39" s="141" t="str">
        <f>IF(Q9="","",Q9)</f>
        <v/>
      </c>
    </row>
    <row r="40" spans="2:17" ht="20" customHeight="1">
      <c r="B40" s="173"/>
      <c r="C40" s="17" t="s">
        <v>47</v>
      </c>
      <c r="D40" s="169" t="str">
        <f t="shared" si="6"/>
        <v>000-000-0000</v>
      </c>
      <c r="E40" s="178"/>
      <c r="F40" s="170"/>
      <c r="G40" s="17" t="s">
        <v>48</v>
      </c>
      <c r="H40" s="169" t="str">
        <f>IF(H10="","",H10)</f>
        <v>000-000-0000</v>
      </c>
      <c r="I40" s="170"/>
      <c r="J40" s="173"/>
      <c r="K40" s="161" t="s">
        <v>47</v>
      </c>
      <c r="L40" s="163"/>
      <c r="M40" s="169" t="str">
        <f>IF(M10="","",M10)</f>
        <v/>
      </c>
      <c r="N40" s="170"/>
      <c r="O40" s="161" t="s">
        <v>48</v>
      </c>
      <c r="P40" s="163"/>
      <c r="Q40" s="18" t="str">
        <f>IF(Q10="","",Q10)</f>
        <v/>
      </c>
    </row>
    <row r="41" spans="2:17" ht="20" customHeight="1">
      <c r="B41" s="17" t="s">
        <v>57</v>
      </c>
      <c r="C41" s="161" t="s">
        <v>55</v>
      </c>
      <c r="D41" s="162"/>
      <c r="E41" s="163"/>
      <c r="F41" s="161" t="s">
        <v>58</v>
      </c>
      <c r="G41" s="163"/>
      <c r="H41" s="17" t="s">
        <v>59</v>
      </c>
      <c r="I41" s="17" t="s">
        <v>60</v>
      </c>
      <c r="J41" s="161" t="s">
        <v>61</v>
      </c>
      <c r="K41" s="162"/>
      <c r="L41" s="163"/>
      <c r="M41" s="17" t="s">
        <v>62</v>
      </c>
      <c r="N41" s="161" t="s">
        <v>63</v>
      </c>
      <c r="O41" s="162"/>
      <c r="P41" s="163"/>
      <c r="Q41" s="17" t="s">
        <v>15</v>
      </c>
    </row>
    <row r="42" spans="2:17" ht="20" customHeight="1">
      <c r="B42" s="19" t="str">
        <f>IF(B12="","",B12)</f>
        <v/>
      </c>
      <c r="C42" s="169" t="str">
        <f t="shared" ref="C42:C43" si="7">IF(C12="","",C12)</f>
        <v/>
      </c>
      <c r="D42" s="178"/>
      <c r="E42" s="170"/>
      <c r="F42" s="169" t="str">
        <f t="shared" ref="F42:F51" si="8">IF(F12="","",F12)</f>
        <v/>
      </c>
      <c r="G42" s="170"/>
      <c r="H42" s="20" t="str">
        <f>IF(H12="","",H12)</f>
        <v/>
      </c>
      <c r="I42" s="20" t="str">
        <f>IF(I12="","",I12)</f>
        <v/>
      </c>
      <c r="J42" s="157" t="str">
        <f>IF(J12="","",J12)</f>
        <v/>
      </c>
      <c r="K42" s="158"/>
      <c r="L42" s="159"/>
      <c r="M42" s="21" t="str">
        <f>IF(M12="","",M12)</f>
        <v/>
      </c>
      <c r="N42" s="175" t="str">
        <f>IF(N12="","",N12)</f>
        <v/>
      </c>
      <c r="O42" s="176"/>
      <c r="P42" s="177"/>
      <c r="Q42" s="18" t="str">
        <f>IF(Q12="","",Q12)</f>
        <v/>
      </c>
    </row>
    <row r="43" spans="2:17" ht="20" customHeight="1">
      <c r="B43" s="19" t="str">
        <f t="shared" ref="B43:B51" si="9">IF(B13="","",B13)</f>
        <v/>
      </c>
      <c r="C43" s="169" t="str">
        <f t="shared" si="7"/>
        <v/>
      </c>
      <c r="D43" s="178"/>
      <c r="E43" s="170"/>
      <c r="F43" s="169" t="str">
        <f t="shared" si="8"/>
        <v/>
      </c>
      <c r="G43" s="170"/>
      <c r="H43" s="20" t="str">
        <f t="shared" ref="H43:J43" si="10">IF(H13="","",H13)</f>
        <v/>
      </c>
      <c r="I43" s="20" t="str">
        <f t="shared" si="10"/>
        <v/>
      </c>
      <c r="J43" s="157" t="str">
        <f t="shared" si="10"/>
        <v/>
      </c>
      <c r="K43" s="158"/>
      <c r="L43" s="159"/>
      <c r="M43" s="21" t="str">
        <f t="shared" ref="M43:N43" si="11">IF(M13="","",M13)</f>
        <v/>
      </c>
      <c r="N43" s="175" t="str">
        <f t="shared" si="11"/>
        <v/>
      </c>
      <c r="O43" s="176"/>
      <c r="P43" s="177"/>
      <c r="Q43" s="18" t="str">
        <f t="shared" ref="Q43:Q52" si="12">IF(Q13="","",Q13)</f>
        <v/>
      </c>
    </row>
    <row r="44" spans="2:17" ht="20" customHeight="1">
      <c r="B44" s="19" t="str">
        <f t="shared" si="9"/>
        <v/>
      </c>
      <c r="C44" s="169" t="str">
        <f>IF(C14="","",C14)</f>
        <v/>
      </c>
      <c r="D44" s="178"/>
      <c r="E44" s="170"/>
      <c r="F44" s="169" t="str">
        <f t="shared" si="8"/>
        <v/>
      </c>
      <c r="G44" s="170"/>
      <c r="H44" s="20" t="str">
        <f t="shared" ref="H44:J44" si="13">IF(H14="","",H14)</f>
        <v/>
      </c>
      <c r="I44" s="20" t="str">
        <f t="shared" si="13"/>
        <v/>
      </c>
      <c r="J44" s="157" t="str">
        <f t="shared" si="13"/>
        <v/>
      </c>
      <c r="K44" s="158"/>
      <c r="L44" s="159"/>
      <c r="M44" s="21" t="str">
        <f t="shared" ref="M44:N44" si="14">IF(M14="","",M14)</f>
        <v/>
      </c>
      <c r="N44" s="175" t="str">
        <f t="shared" si="14"/>
        <v/>
      </c>
      <c r="O44" s="176"/>
      <c r="P44" s="177"/>
      <c r="Q44" s="18" t="str">
        <f t="shared" si="12"/>
        <v/>
      </c>
    </row>
    <row r="45" spans="2:17" ht="20" customHeight="1">
      <c r="B45" s="19" t="str">
        <f t="shared" si="9"/>
        <v/>
      </c>
      <c r="C45" s="169" t="str">
        <f t="shared" ref="C45:C51" si="15">IF(C15="","",C15)</f>
        <v/>
      </c>
      <c r="D45" s="178"/>
      <c r="E45" s="170"/>
      <c r="F45" s="169" t="str">
        <f t="shared" si="8"/>
        <v/>
      </c>
      <c r="G45" s="170"/>
      <c r="H45" s="20" t="str">
        <f t="shared" ref="H45:J45" si="16">IF(H15="","",H15)</f>
        <v/>
      </c>
      <c r="I45" s="20" t="str">
        <f t="shared" si="16"/>
        <v/>
      </c>
      <c r="J45" s="157" t="str">
        <f t="shared" si="16"/>
        <v/>
      </c>
      <c r="K45" s="158"/>
      <c r="L45" s="159"/>
      <c r="M45" s="21" t="str">
        <f t="shared" ref="M45:N45" si="17">IF(M15="","",M15)</f>
        <v/>
      </c>
      <c r="N45" s="175" t="str">
        <f t="shared" si="17"/>
        <v/>
      </c>
      <c r="O45" s="176"/>
      <c r="P45" s="177"/>
      <c r="Q45" s="18" t="str">
        <f t="shared" si="12"/>
        <v/>
      </c>
    </row>
    <row r="46" spans="2:17" ht="20" customHeight="1">
      <c r="B46" s="19" t="str">
        <f t="shared" si="9"/>
        <v/>
      </c>
      <c r="C46" s="169" t="str">
        <f t="shared" si="15"/>
        <v/>
      </c>
      <c r="D46" s="178"/>
      <c r="E46" s="170"/>
      <c r="F46" s="169" t="str">
        <f t="shared" si="8"/>
        <v/>
      </c>
      <c r="G46" s="170"/>
      <c r="H46" s="20" t="str">
        <f t="shared" ref="H46:J46" si="18">IF(H16="","",H16)</f>
        <v/>
      </c>
      <c r="I46" s="20" t="str">
        <f t="shared" si="18"/>
        <v/>
      </c>
      <c r="J46" s="157" t="str">
        <f t="shared" si="18"/>
        <v/>
      </c>
      <c r="K46" s="158"/>
      <c r="L46" s="159"/>
      <c r="M46" s="21" t="str">
        <f t="shared" ref="M46:N46" si="19">IF(M16="","",M16)</f>
        <v/>
      </c>
      <c r="N46" s="175" t="str">
        <f t="shared" si="19"/>
        <v/>
      </c>
      <c r="O46" s="176"/>
      <c r="P46" s="177"/>
      <c r="Q46" s="18" t="str">
        <f t="shared" si="12"/>
        <v/>
      </c>
    </row>
    <row r="47" spans="2:17" ht="20" customHeight="1">
      <c r="B47" s="19" t="str">
        <f t="shared" si="9"/>
        <v/>
      </c>
      <c r="C47" s="169" t="str">
        <f t="shared" si="15"/>
        <v/>
      </c>
      <c r="D47" s="178"/>
      <c r="E47" s="170"/>
      <c r="F47" s="169" t="str">
        <f t="shared" si="8"/>
        <v/>
      </c>
      <c r="G47" s="170"/>
      <c r="H47" s="20" t="str">
        <f t="shared" ref="H47:J47" si="20">IF(H17="","",H17)</f>
        <v/>
      </c>
      <c r="I47" s="20" t="str">
        <f t="shared" si="20"/>
        <v/>
      </c>
      <c r="J47" s="157" t="str">
        <f t="shared" si="20"/>
        <v/>
      </c>
      <c r="K47" s="158"/>
      <c r="L47" s="159"/>
      <c r="M47" s="21" t="str">
        <f t="shared" ref="M47:N47" si="21">IF(M17="","",M17)</f>
        <v/>
      </c>
      <c r="N47" s="175" t="str">
        <f t="shared" si="21"/>
        <v/>
      </c>
      <c r="O47" s="176"/>
      <c r="P47" s="177"/>
      <c r="Q47" s="18" t="str">
        <f t="shared" si="12"/>
        <v/>
      </c>
    </row>
    <row r="48" spans="2:17" ht="20" customHeight="1">
      <c r="B48" s="19" t="str">
        <f t="shared" si="9"/>
        <v/>
      </c>
      <c r="C48" s="169" t="str">
        <f t="shared" si="15"/>
        <v/>
      </c>
      <c r="D48" s="178"/>
      <c r="E48" s="170"/>
      <c r="F48" s="169" t="str">
        <f t="shared" si="8"/>
        <v/>
      </c>
      <c r="G48" s="170"/>
      <c r="H48" s="20" t="str">
        <f t="shared" ref="H48:J48" si="22">IF(H18="","",H18)</f>
        <v/>
      </c>
      <c r="I48" s="20" t="str">
        <f t="shared" si="22"/>
        <v/>
      </c>
      <c r="J48" s="157" t="str">
        <f t="shared" si="22"/>
        <v/>
      </c>
      <c r="K48" s="158"/>
      <c r="L48" s="159"/>
      <c r="M48" s="21" t="str">
        <f t="shared" ref="M48:N48" si="23">IF(M18="","",M18)</f>
        <v/>
      </c>
      <c r="N48" s="175" t="str">
        <f t="shared" si="23"/>
        <v/>
      </c>
      <c r="O48" s="176"/>
      <c r="P48" s="177"/>
      <c r="Q48" s="18" t="str">
        <f t="shared" si="12"/>
        <v/>
      </c>
    </row>
    <row r="49" spans="2:17" ht="20" customHeight="1">
      <c r="B49" s="19" t="str">
        <f t="shared" si="9"/>
        <v/>
      </c>
      <c r="C49" s="169" t="str">
        <f t="shared" si="15"/>
        <v/>
      </c>
      <c r="D49" s="178"/>
      <c r="E49" s="170"/>
      <c r="F49" s="169" t="str">
        <f t="shared" si="8"/>
        <v/>
      </c>
      <c r="G49" s="170"/>
      <c r="H49" s="20" t="str">
        <f t="shared" ref="H49:J49" si="24">IF(H19="","",H19)</f>
        <v/>
      </c>
      <c r="I49" s="20" t="str">
        <f t="shared" si="24"/>
        <v/>
      </c>
      <c r="J49" s="157" t="str">
        <f t="shared" si="24"/>
        <v/>
      </c>
      <c r="K49" s="158"/>
      <c r="L49" s="159"/>
      <c r="M49" s="21" t="str">
        <f t="shared" ref="M49:N49" si="25">IF(M19="","",M19)</f>
        <v/>
      </c>
      <c r="N49" s="175" t="str">
        <f t="shared" si="25"/>
        <v/>
      </c>
      <c r="O49" s="176"/>
      <c r="P49" s="177"/>
      <c r="Q49" s="18" t="str">
        <f t="shared" si="12"/>
        <v/>
      </c>
    </row>
    <row r="50" spans="2:17" ht="20" customHeight="1">
      <c r="B50" s="19" t="str">
        <f t="shared" si="9"/>
        <v/>
      </c>
      <c r="C50" s="169" t="str">
        <f t="shared" si="15"/>
        <v/>
      </c>
      <c r="D50" s="178"/>
      <c r="E50" s="170"/>
      <c r="F50" s="169" t="str">
        <f t="shared" si="8"/>
        <v/>
      </c>
      <c r="G50" s="170"/>
      <c r="H50" s="20" t="str">
        <f t="shared" ref="H50:J50" si="26">IF(H20="","",H20)</f>
        <v/>
      </c>
      <c r="I50" s="20" t="str">
        <f t="shared" si="26"/>
        <v/>
      </c>
      <c r="J50" s="157" t="str">
        <f t="shared" si="26"/>
        <v/>
      </c>
      <c r="K50" s="158"/>
      <c r="L50" s="159"/>
      <c r="M50" s="21" t="str">
        <f t="shared" ref="M50:N50" si="27">IF(M20="","",M20)</f>
        <v/>
      </c>
      <c r="N50" s="175" t="str">
        <f t="shared" si="27"/>
        <v/>
      </c>
      <c r="O50" s="176"/>
      <c r="P50" s="177"/>
      <c r="Q50" s="18" t="str">
        <f t="shared" si="12"/>
        <v/>
      </c>
    </row>
    <row r="51" spans="2:17" ht="20" customHeight="1">
      <c r="B51" s="19" t="str">
        <f t="shared" si="9"/>
        <v/>
      </c>
      <c r="C51" s="169" t="str">
        <f t="shared" si="15"/>
        <v/>
      </c>
      <c r="D51" s="178"/>
      <c r="E51" s="170"/>
      <c r="F51" s="169" t="str">
        <f t="shared" si="8"/>
        <v/>
      </c>
      <c r="G51" s="170"/>
      <c r="H51" s="20" t="str">
        <f t="shared" ref="H51:J52" si="28">IF(H21="","",H21)</f>
        <v/>
      </c>
      <c r="I51" s="20" t="str">
        <f t="shared" si="28"/>
        <v/>
      </c>
      <c r="J51" s="157" t="str">
        <f t="shared" si="28"/>
        <v/>
      </c>
      <c r="K51" s="158"/>
      <c r="L51" s="159"/>
      <c r="M51" s="21" t="str">
        <f t="shared" ref="M51:N52" si="29">IF(M21="","",M21)</f>
        <v/>
      </c>
      <c r="N51" s="175" t="str">
        <f t="shared" si="29"/>
        <v/>
      </c>
      <c r="O51" s="176"/>
      <c r="P51" s="177"/>
      <c r="Q51" s="18" t="str">
        <f t="shared" si="12"/>
        <v/>
      </c>
    </row>
    <row r="52" spans="2:17" ht="20" customHeight="1">
      <c r="B52" s="257" t="s">
        <v>49</v>
      </c>
      <c r="C52" s="258"/>
      <c r="D52" s="258"/>
      <c r="E52" s="258"/>
      <c r="F52" s="258"/>
      <c r="G52" s="258"/>
      <c r="H52" s="258"/>
      <c r="I52" s="259"/>
      <c r="J52" s="260" t="str">
        <f t="shared" si="28"/>
        <v/>
      </c>
      <c r="K52" s="261"/>
      <c r="L52" s="262"/>
      <c r="M52" s="24" t="str">
        <f t="shared" si="29"/>
        <v/>
      </c>
      <c r="N52" s="269" t="str">
        <f t="shared" si="29"/>
        <v/>
      </c>
      <c r="O52" s="270"/>
      <c r="P52" s="271"/>
      <c r="Q52" s="25" t="str">
        <f t="shared" si="12"/>
        <v/>
      </c>
    </row>
    <row r="53" spans="2:17" ht="20" customHeight="1">
      <c r="B53" s="257" t="s">
        <v>42</v>
      </c>
      <c r="C53" s="258"/>
      <c r="D53" s="258"/>
      <c r="E53" s="258"/>
      <c r="F53" s="258"/>
      <c r="G53" s="258"/>
      <c r="H53" s="258"/>
      <c r="I53" s="259"/>
      <c r="J53" s="272" t="str">
        <f>IF(J23="","",J23)</f>
        <v/>
      </c>
      <c r="K53" s="273"/>
      <c r="L53" s="273"/>
      <c r="M53" s="273"/>
      <c r="N53" s="273"/>
      <c r="O53" s="273"/>
      <c r="P53" s="273"/>
      <c r="Q53" s="274"/>
    </row>
    <row r="54" spans="2:17" ht="20" customHeight="1">
      <c r="B54" s="171" t="s">
        <v>50</v>
      </c>
      <c r="C54" s="230" t="str">
        <f>IF(C24="","",C24)</f>
        <v/>
      </c>
      <c r="D54" s="231"/>
      <c r="E54" s="231"/>
      <c r="F54" s="231"/>
      <c r="G54" s="231"/>
      <c r="H54" s="231"/>
      <c r="I54" s="232"/>
      <c r="J54" s="171" t="s">
        <v>51</v>
      </c>
      <c r="K54" s="238" t="str">
        <f>IF(K24="","",K24)</f>
        <v/>
      </c>
      <c r="L54" s="239"/>
      <c r="M54" s="240"/>
      <c r="N54" s="171" t="s">
        <v>52</v>
      </c>
      <c r="O54" s="246" t="str">
        <f>IF(O24="","",O24)</f>
        <v/>
      </c>
      <c r="P54" s="247"/>
      <c r="Q54" s="248"/>
    </row>
    <row r="55" spans="2:17" ht="20" customHeight="1">
      <c r="B55" s="172"/>
      <c r="C55" s="233"/>
      <c r="D55" s="215"/>
      <c r="E55" s="215"/>
      <c r="F55" s="215"/>
      <c r="G55" s="215"/>
      <c r="H55" s="215"/>
      <c r="I55" s="234"/>
      <c r="J55" s="172"/>
      <c r="K55" s="241"/>
      <c r="L55" s="224"/>
      <c r="M55" s="242"/>
      <c r="N55" s="172"/>
      <c r="O55" s="249"/>
      <c r="P55" s="205"/>
      <c r="Q55" s="250"/>
    </row>
    <row r="56" spans="2:17" ht="20" customHeight="1">
      <c r="B56" s="173"/>
      <c r="C56" s="235"/>
      <c r="D56" s="236"/>
      <c r="E56" s="236"/>
      <c r="F56" s="236"/>
      <c r="G56" s="236"/>
      <c r="H56" s="236"/>
      <c r="I56" s="237"/>
      <c r="J56" s="173"/>
      <c r="K56" s="243"/>
      <c r="L56" s="244"/>
      <c r="M56" s="245"/>
      <c r="N56" s="173"/>
      <c r="O56" s="251"/>
      <c r="P56" s="252"/>
      <c r="Q56" s="253"/>
    </row>
    <row r="57" spans="2:17" ht="20" customHeight="1">
      <c r="B57" s="174" t="str">
        <f>IF(B27="","",B27)</f>
        <v>[입금계좌] OO은행 0000-000-000000   예금주 : OOO</v>
      </c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</row>
  </sheetData>
  <dataConsolidate/>
  <mergeCells count="166">
    <mergeCell ref="G3:M4"/>
    <mergeCell ref="G33:M34"/>
    <mergeCell ref="B5:C5"/>
    <mergeCell ref="B35:C35"/>
    <mergeCell ref="N52:P52"/>
    <mergeCell ref="B53:I53"/>
    <mergeCell ref="J53:Q53"/>
    <mergeCell ref="C44:E44"/>
    <mergeCell ref="F44:G44"/>
    <mergeCell ref="N44:P44"/>
    <mergeCell ref="C45:E45"/>
    <mergeCell ref="M36:Q36"/>
    <mergeCell ref="N45:P45"/>
    <mergeCell ref="O35:Q35"/>
    <mergeCell ref="B36:B40"/>
    <mergeCell ref="D36:I36"/>
    <mergeCell ref="D40:F40"/>
    <mergeCell ref="N13:P13"/>
    <mergeCell ref="N14:P14"/>
    <mergeCell ref="N15:P15"/>
    <mergeCell ref="O9:P9"/>
    <mergeCell ref="O10:P10"/>
    <mergeCell ref="C46:E46"/>
    <mergeCell ref="F46:G46"/>
    <mergeCell ref="C47:E47"/>
    <mergeCell ref="F47:G47"/>
    <mergeCell ref="N47:P47"/>
    <mergeCell ref="J47:L47"/>
    <mergeCell ref="F45:G45"/>
    <mergeCell ref="J50:L50"/>
    <mergeCell ref="B57:Q57"/>
    <mergeCell ref="C50:E50"/>
    <mergeCell ref="F50:G50"/>
    <mergeCell ref="N50:P50"/>
    <mergeCell ref="C51:E51"/>
    <mergeCell ref="F51:G51"/>
    <mergeCell ref="N51:P51"/>
    <mergeCell ref="C48:E48"/>
    <mergeCell ref="F48:G48"/>
    <mergeCell ref="N48:P48"/>
    <mergeCell ref="C49:E49"/>
    <mergeCell ref="F49:G49"/>
    <mergeCell ref="N49:P49"/>
    <mergeCell ref="J51:L51"/>
    <mergeCell ref="B52:I52"/>
    <mergeCell ref="J52:L52"/>
    <mergeCell ref="J48:L48"/>
    <mergeCell ref="J49:L49"/>
    <mergeCell ref="B54:B56"/>
    <mergeCell ref="C54:I56"/>
    <mergeCell ref="J54:J56"/>
    <mergeCell ref="K54:M56"/>
    <mergeCell ref="N54:N56"/>
    <mergeCell ref="O54:Q56"/>
    <mergeCell ref="C11:E11"/>
    <mergeCell ref="D7:F7"/>
    <mergeCell ref="B23:I23"/>
    <mergeCell ref="J23:Q23"/>
    <mergeCell ref="F17:G17"/>
    <mergeCell ref="F18:G18"/>
    <mergeCell ref="F19:G19"/>
    <mergeCell ref="J20:L20"/>
    <mergeCell ref="J21:L21"/>
    <mergeCell ref="D9:F9"/>
    <mergeCell ref="F13:G13"/>
    <mergeCell ref="F14:G14"/>
    <mergeCell ref="F15:G15"/>
    <mergeCell ref="D10:F10"/>
    <mergeCell ref="F11:G11"/>
    <mergeCell ref="F12:G12"/>
    <mergeCell ref="D8:I8"/>
    <mergeCell ref="B6:B10"/>
    <mergeCell ref="C24:I26"/>
    <mergeCell ref="J24:J26"/>
    <mergeCell ref="K24:M26"/>
    <mergeCell ref="N24:N26"/>
    <mergeCell ref="O7:P7"/>
    <mergeCell ref="J17:L17"/>
    <mergeCell ref="J18:L18"/>
    <mergeCell ref="J22:L22"/>
    <mergeCell ref="F21:G21"/>
    <mergeCell ref="C12:E12"/>
    <mergeCell ref="C13:E13"/>
    <mergeCell ref="C14:E14"/>
    <mergeCell ref="C15:E15"/>
    <mergeCell ref="C16:E16"/>
    <mergeCell ref="M7:N7"/>
    <mergeCell ref="M9:N9"/>
    <mergeCell ref="M10:N10"/>
    <mergeCell ref="N11:P11"/>
    <mergeCell ref="N12:P12"/>
    <mergeCell ref="J16:L16"/>
    <mergeCell ref="F16:G16"/>
    <mergeCell ref="J11:L11"/>
    <mergeCell ref="J12:L12"/>
    <mergeCell ref="J13:L13"/>
    <mergeCell ref="C17:E17"/>
    <mergeCell ref="F20:G20"/>
    <mergeCell ref="H7:I7"/>
    <mergeCell ref="D6:I6"/>
    <mergeCell ref="M6:Q6"/>
    <mergeCell ref="M8:Q8"/>
    <mergeCell ref="J6:J10"/>
    <mergeCell ref="K6:L6"/>
    <mergeCell ref="K7:L7"/>
    <mergeCell ref="K8:L8"/>
    <mergeCell ref="K9:L9"/>
    <mergeCell ref="K10:L10"/>
    <mergeCell ref="H9:I9"/>
    <mergeCell ref="H10:I10"/>
    <mergeCell ref="N18:P18"/>
    <mergeCell ref="N19:P19"/>
    <mergeCell ref="N20:P20"/>
    <mergeCell ref="C18:E18"/>
    <mergeCell ref="C19:E19"/>
    <mergeCell ref="C20:E20"/>
    <mergeCell ref="J14:L14"/>
    <mergeCell ref="J15:L15"/>
    <mergeCell ref="N16:P16"/>
    <mergeCell ref="N17:P17"/>
    <mergeCell ref="J45:L45"/>
    <mergeCell ref="J46:L46"/>
    <mergeCell ref="N42:P42"/>
    <mergeCell ref="C43:E43"/>
    <mergeCell ref="F43:G43"/>
    <mergeCell ref="N43:P43"/>
    <mergeCell ref="H37:I37"/>
    <mergeCell ref="O37:P37"/>
    <mergeCell ref="D38:I38"/>
    <mergeCell ref="M38:Q38"/>
    <mergeCell ref="H40:I40"/>
    <mergeCell ref="K40:L40"/>
    <mergeCell ref="K37:L37"/>
    <mergeCell ref="K38:L38"/>
    <mergeCell ref="H39:I39"/>
    <mergeCell ref="D37:F37"/>
    <mergeCell ref="D39:F39"/>
    <mergeCell ref="M39:N39"/>
    <mergeCell ref="M37:N37"/>
    <mergeCell ref="C42:E42"/>
    <mergeCell ref="F42:G42"/>
    <mergeCell ref="N46:P46"/>
    <mergeCell ref="K36:L36"/>
    <mergeCell ref="J42:L42"/>
    <mergeCell ref="J43:L43"/>
    <mergeCell ref="J44:L44"/>
    <mergeCell ref="G35:M35"/>
    <mergeCell ref="C41:E41"/>
    <mergeCell ref="F41:G41"/>
    <mergeCell ref="J19:L19"/>
    <mergeCell ref="B29:Q29"/>
    <mergeCell ref="B30:Q30"/>
    <mergeCell ref="O39:P39"/>
    <mergeCell ref="O40:P40"/>
    <mergeCell ref="J41:L41"/>
    <mergeCell ref="K39:L39"/>
    <mergeCell ref="M40:N40"/>
    <mergeCell ref="J36:J40"/>
    <mergeCell ref="N41:P41"/>
    <mergeCell ref="B27:Q27"/>
    <mergeCell ref="N21:P21"/>
    <mergeCell ref="N22:P22"/>
    <mergeCell ref="O24:Q26"/>
    <mergeCell ref="B22:I22"/>
    <mergeCell ref="C21:E21"/>
    <mergeCell ref="B24:B26"/>
  </mergeCells>
  <phoneticPr fontId="2" type="noConversion"/>
  <dataValidations count="4">
    <dataValidation type="list" allowBlank="1" showInputMessage="1" showErrorMessage="1" sqref="I12:I21" xr:uid="{318DFB9B-168F-0A44-A4CE-656E9C7B4D10}">
      <formula1>"ea,box"</formula1>
    </dataValidation>
    <dataValidation type="list" allowBlank="1" showInputMessage="1" showErrorMessage="1" sqref="M7" xr:uid="{679ACA3D-207A-6641-B95E-C95BC2B1C548}">
      <formula1>거래처상호</formula1>
    </dataValidation>
    <dataValidation type="list" allowBlank="1" showInputMessage="1" showErrorMessage="1" sqref="C12:E21" xr:uid="{2F5CF49E-97B2-044A-B4E7-BDF579276689}">
      <formula1>품목</formula1>
    </dataValidation>
    <dataValidation type="list" allowBlank="1" showInputMessage="1" showErrorMessage="1" sqref="F12:F21" xr:uid="{3FAF7CA4-5113-8F4B-8665-5A38E4E765F4}">
      <formula1>항목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0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73DEE-2705-8C4C-B7F7-386F7BD8035B}">
  <sheetPr codeName="Sheet2"/>
  <dimension ref="A1:I37"/>
  <sheetViews>
    <sheetView zoomScaleNormal="100" workbookViewId="0">
      <selection activeCell="F6" sqref="F6"/>
    </sheetView>
  </sheetViews>
  <sheetFormatPr baseColWidth="10" defaultRowHeight="13"/>
  <cols>
    <col min="1" max="1" width="12.33203125" style="59" bestFit="1" customWidth="1"/>
    <col min="2" max="2" width="17" style="59" bestFit="1" customWidth="1"/>
    <col min="3" max="3" width="7.83203125" style="59" bestFit="1" customWidth="1"/>
    <col min="4" max="5" width="10" style="59" bestFit="1" customWidth="1"/>
    <col min="6" max="6" width="13.33203125" style="59" bestFit="1" customWidth="1"/>
    <col min="7" max="8" width="10" style="59" bestFit="1" customWidth="1"/>
    <col min="9" max="9" width="8.83203125" style="59" bestFit="1" customWidth="1"/>
    <col min="10" max="16384" width="10.83203125" style="59"/>
  </cols>
  <sheetData>
    <row r="1" spans="1:9">
      <c r="A1" s="59" t="s">
        <v>0</v>
      </c>
      <c r="B1" s="59" t="s">
        <v>192</v>
      </c>
    </row>
    <row r="3" spans="1:9">
      <c r="A3" s="59" t="s">
        <v>65</v>
      </c>
      <c r="B3" s="59" t="s">
        <v>55</v>
      </c>
      <c r="C3" s="59" t="s">
        <v>58</v>
      </c>
      <c r="D3" s="59" t="s">
        <v>68</v>
      </c>
      <c r="E3" s="59" t="s">
        <v>69</v>
      </c>
      <c r="F3" s="59" t="s">
        <v>70</v>
      </c>
      <c r="G3" s="59" t="s">
        <v>71</v>
      </c>
      <c r="H3" s="59" t="s">
        <v>79</v>
      </c>
      <c r="I3"/>
    </row>
    <row r="4" spans="1:9">
      <c r="A4" s="59" t="s">
        <v>67</v>
      </c>
      <c r="D4" s="91"/>
      <c r="E4" s="61"/>
      <c r="F4" s="61"/>
      <c r="G4" s="61"/>
      <c r="H4" s="61"/>
      <c r="I4"/>
    </row>
    <row r="5" spans="1:9">
      <c r="A5"/>
      <c r="B5"/>
      <c r="C5"/>
      <c r="D5"/>
      <c r="E5"/>
      <c r="F5"/>
      <c r="G5"/>
      <c r="H5"/>
      <c r="I5"/>
    </row>
    <row r="6" spans="1:9">
      <c r="A6"/>
      <c r="B6"/>
      <c r="C6"/>
      <c r="D6"/>
      <c r="E6"/>
      <c r="F6"/>
      <c r="G6"/>
      <c r="H6"/>
      <c r="I6"/>
    </row>
    <row r="7" spans="1:9">
      <c r="A7"/>
      <c r="B7"/>
      <c r="C7"/>
      <c r="D7"/>
      <c r="E7"/>
      <c r="F7"/>
      <c r="G7"/>
      <c r="H7"/>
      <c r="I7"/>
    </row>
    <row r="8" spans="1:9">
      <c r="A8"/>
      <c r="B8"/>
      <c r="C8"/>
      <c r="D8"/>
      <c r="E8"/>
      <c r="F8"/>
      <c r="G8"/>
      <c r="H8"/>
      <c r="I8"/>
    </row>
    <row r="9" spans="1:9">
      <c r="A9"/>
      <c r="B9"/>
      <c r="C9"/>
      <c r="D9"/>
      <c r="E9"/>
      <c r="F9"/>
      <c r="G9"/>
      <c r="H9"/>
      <c r="I9"/>
    </row>
    <row r="10" spans="1:9">
      <c r="A10"/>
      <c r="B10"/>
      <c r="C10"/>
      <c r="D10"/>
      <c r="E10"/>
      <c r="F10"/>
      <c r="G10"/>
      <c r="H10"/>
      <c r="I10"/>
    </row>
    <row r="11" spans="1:9">
      <c r="A11"/>
      <c r="B11"/>
      <c r="C11"/>
      <c r="D11"/>
      <c r="E11"/>
      <c r="F11"/>
      <c r="G11"/>
      <c r="H11"/>
      <c r="I11"/>
    </row>
    <row r="12" spans="1:9">
      <c r="A12"/>
      <c r="B12"/>
      <c r="C12"/>
      <c r="D12"/>
      <c r="E12"/>
      <c r="F12"/>
      <c r="G12"/>
      <c r="H12"/>
      <c r="I12"/>
    </row>
    <row r="13" spans="1:9">
      <c r="A13"/>
      <c r="B13"/>
      <c r="C13"/>
      <c r="D13"/>
      <c r="E13"/>
      <c r="F13"/>
      <c r="G13"/>
      <c r="H13"/>
      <c r="I13"/>
    </row>
    <row r="14" spans="1:9">
      <c r="A14"/>
      <c r="B14"/>
      <c r="C14"/>
      <c r="D14"/>
      <c r="E14"/>
      <c r="F14"/>
      <c r="G14"/>
      <c r="H14"/>
      <c r="I14"/>
    </row>
    <row r="15" spans="1:9">
      <c r="A15"/>
      <c r="B15"/>
      <c r="C15"/>
      <c r="D15"/>
      <c r="E15"/>
      <c r="F15"/>
      <c r="G15"/>
      <c r="H15"/>
      <c r="I15"/>
    </row>
    <row r="16" spans="1:9">
      <c r="A16"/>
      <c r="B16"/>
      <c r="C16"/>
      <c r="D16"/>
      <c r="E16"/>
      <c r="F16"/>
      <c r="G16"/>
      <c r="H16"/>
      <c r="I16"/>
    </row>
    <row r="17" spans="1:9">
      <c r="A17"/>
      <c r="B17"/>
      <c r="C17"/>
      <c r="D17"/>
      <c r="E17"/>
      <c r="F17"/>
      <c r="G17"/>
      <c r="H17"/>
      <c r="I17"/>
    </row>
    <row r="18" spans="1:9">
      <c r="A18"/>
      <c r="B18"/>
      <c r="C18"/>
      <c r="D18"/>
      <c r="E18"/>
      <c r="F18"/>
      <c r="G18"/>
      <c r="H18"/>
      <c r="I18"/>
    </row>
    <row r="19" spans="1:9">
      <c r="A19"/>
      <c r="B19"/>
      <c r="C19"/>
      <c r="D19"/>
      <c r="E19"/>
      <c r="F19"/>
      <c r="G19"/>
      <c r="H19"/>
    </row>
    <row r="20" spans="1:9">
      <c r="A20"/>
      <c r="B20"/>
      <c r="C20"/>
      <c r="D20"/>
      <c r="E20"/>
      <c r="F20"/>
      <c r="G20"/>
      <c r="H20"/>
    </row>
    <row r="21" spans="1:9">
      <c r="A21"/>
      <c r="B21"/>
      <c r="C21"/>
      <c r="D21"/>
      <c r="E21"/>
      <c r="F21"/>
      <c r="G21"/>
      <c r="H21"/>
    </row>
    <row r="22" spans="1:9">
      <c r="A22"/>
      <c r="B22"/>
      <c r="C22"/>
      <c r="D22"/>
      <c r="E22"/>
      <c r="F22"/>
      <c r="G22"/>
      <c r="H22"/>
    </row>
    <row r="23" spans="1:9">
      <c r="A23"/>
      <c r="B23"/>
      <c r="C23"/>
      <c r="D23"/>
      <c r="E23"/>
      <c r="F23"/>
      <c r="G23"/>
    </row>
    <row r="24" spans="1:9">
      <c r="A24"/>
      <c r="B24"/>
      <c r="C24"/>
      <c r="D24"/>
      <c r="E24"/>
      <c r="F24"/>
      <c r="G24"/>
    </row>
    <row r="25" spans="1:9">
      <c r="A25"/>
      <c r="B25"/>
      <c r="C25"/>
      <c r="D25"/>
      <c r="E25"/>
      <c r="F25"/>
      <c r="G25"/>
    </row>
    <row r="26" spans="1:9">
      <c r="A26"/>
      <c r="B26"/>
      <c r="C26"/>
      <c r="D26"/>
      <c r="E26"/>
      <c r="F26"/>
    </row>
    <row r="27" spans="1:9">
      <c r="A27"/>
      <c r="B27"/>
      <c r="C27"/>
      <c r="D27"/>
      <c r="E27"/>
      <c r="F27"/>
    </row>
    <row r="28" spans="1:9">
      <c r="A28"/>
      <c r="B28"/>
      <c r="C28"/>
      <c r="D28"/>
      <c r="E28"/>
      <c r="F28"/>
    </row>
    <row r="29" spans="1:9">
      <c r="A29"/>
      <c r="B29"/>
      <c r="C29"/>
      <c r="D29"/>
      <c r="E29"/>
      <c r="F29"/>
    </row>
    <row r="30" spans="1:9">
      <c r="A30"/>
      <c r="B30"/>
      <c r="C30"/>
      <c r="D30"/>
      <c r="E30"/>
      <c r="F30"/>
    </row>
    <row r="31" spans="1:9">
      <c r="A31"/>
      <c r="B31"/>
      <c r="C31"/>
      <c r="D31"/>
      <c r="E31"/>
      <c r="F31"/>
    </row>
    <row r="32" spans="1:9">
      <c r="A32"/>
      <c r="B32"/>
      <c r="C32"/>
      <c r="D32"/>
      <c r="E32"/>
      <c r="F32"/>
    </row>
    <row r="33" spans="1:6">
      <c r="A33"/>
      <c r="B33"/>
      <c r="C33"/>
      <c r="D33"/>
      <c r="E33"/>
      <c r="F33"/>
    </row>
    <row r="34" spans="1:6">
      <c r="A34"/>
      <c r="B34"/>
      <c r="C34"/>
      <c r="D34"/>
      <c r="E34"/>
      <c r="F34"/>
    </row>
    <row r="35" spans="1:6">
      <c r="A35"/>
      <c r="B35"/>
      <c r="C35"/>
      <c r="D35"/>
      <c r="E35"/>
      <c r="F35"/>
    </row>
    <row r="36" spans="1:6">
      <c r="A36"/>
      <c r="B36"/>
      <c r="C36"/>
      <c r="D36"/>
      <c r="E36"/>
      <c r="F36"/>
    </row>
    <row r="37" spans="1:6">
      <c r="A37"/>
      <c r="B37"/>
      <c r="C37"/>
      <c r="D37"/>
      <c r="E37"/>
      <c r="F3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0A757-2E9C-C44A-9E19-9915A1F19FC1}">
  <sheetPr codeName="Sheet3"/>
  <dimension ref="A1:H27"/>
  <sheetViews>
    <sheetView zoomScaleNormal="100" workbookViewId="0">
      <selection activeCell="B10" sqref="B10"/>
    </sheetView>
  </sheetViews>
  <sheetFormatPr baseColWidth="10" defaultRowHeight="13"/>
  <cols>
    <col min="1" max="1" width="11.1640625" style="59" bestFit="1" customWidth="1"/>
    <col min="2" max="2" width="18.6640625" style="59" bestFit="1" customWidth="1"/>
    <col min="3" max="3" width="7.83203125" style="59" bestFit="1" customWidth="1"/>
    <col min="4" max="5" width="10" style="59" bestFit="1" customWidth="1"/>
    <col min="6" max="6" width="13.33203125" style="59" bestFit="1" customWidth="1"/>
    <col min="7" max="8" width="10" style="59" bestFit="1" customWidth="1"/>
    <col min="9" max="15" width="13.33203125" style="59" bestFit="1" customWidth="1"/>
    <col min="16" max="17" width="14" style="59" bestFit="1" customWidth="1"/>
    <col min="18" max="18" width="17.6640625" style="59" bestFit="1" customWidth="1"/>
    <col min="19" max="19" width="19.33203125" style="59" bestFit="1" customWidth="1"/>
    <col min="20" max="20" width="17.6640625" style="59" bestFit="1" customWidth="1"/>
    <col min="21" max="21" width="14" style="59" bestFit="1" customWidth="1"/>
    <col min="22" max="16384" width="10.83203125" style="59"/>
  </cols>
  <sheetData>
    <row r="1" spans="1:8">
      <c r="A1" s="59" t="s">
        <v>55</v>
      </c>
      <c r="B1" s="59" t="s">
        <v>192</v>
      </c>
    </row>
    <row r="3" spans="1:8">
      <c r="A3" s="59" t="s">
        <v>65</v>
      </c>
      <c r="B3" s="59" t="s">
        <v>0</v>
      </c>
      <c r="C3" s="59" t="s">
        <v>58</v>
      </c>
      <c r="D3" s="59" t="s">
        <v>68</v>
      </c>
      <c r="E3" s="59" t="s">
        <v>69</v>
      </c>
      <c r="F3" s="59" t="s">
        <v>70</v>
      </c>
      <c r="G3" s="59" t="s">
        <v>71</v>
      </c>
      <c r="H3" s="59" t="s">
        <v>79</v>
      </c>
    </row>
    <row r="4" spans="1:8">
      <c r="A4" s="59" t="s">
        <v>67</v>
      </c>
      <c r="D4" s="60"/>
      <c r="E4" s="61"/>
      <c r="F4" s="61"/>
      <c r="G4" s="61"/>
      <c r="H4" s="61"/>
    </row>
    <row r="5" spans="1:8">
      <c r="A5"/>
      <c r="B5"/>
      <c r="C5"/>
      <c r="D5"/>
      <c r="E5"/>
      <c r="F5"/>
      <c r="G5"/>
      <c r="H5"/>
    </row>
    <row r="6" spans="1:8">
      <c r="A6"/>
      <c r="B6"/>
      <c r="C6"/>
      <c r="D6"/>
      <c r="E6"/>
      <c r="F6"/>
      <c r="G6"/>
      <c r="H6"/>
    </row>
    <row r="7" spans="1:8">
      <c r="A7"/>
      <c r="B7"/>
      <c r="C7"/>
      <c r="D7"/>
      <c r="E7"/>
      <c r="F7"/>
      <c r="G7"/>
      <c r="H7"/>
    </row>
    <row r="8" spans="1:8">
      <c r="A8"/>
      <c r="B8"/>
      <c r="C8"/>
      <c r="D8"/>
      <c r="E8"/>
      <c r="F8"/>
      <c r="G8"/>
      <c r="H8"/>
    </row>
    <row r="9" spans="1:8">
      <c r="A9"/>
      <c r="B9"/>
      <c r="C9"/>
      <c r="D9"/>
      <c r="E9"/>
      <c r="F9"/>
      <c r="G9"/>
      <c r="H9"/>
    </row>
    <row r="10" spans="1:8">
      <c r="A10"/>
      <c r="B10"/>
      <c r="C10"/>
      <c r="D10"/>
      <c r="E10"/>
      <c r="F10"/>
      <c r="G10"/>
      <c r="H10"/>
    </row>
    <row r="11" spans="1:8">
      <c r="A11"/>
      <c r="B11"/>
      <c r="C11"/>
      <c r="D11"/>
      <c r="E11"/>
      <c r="F11"/>
      <c r="G11"/>
      <c r="H11"/>
    </row>
    <row r="12" spans="1:8">
      <c r="A12"/>
      <c r="B12"/>
      <c r="C12"/>
      <c r="D12"/>
      <c r="E12"/>
      <c r="F12"/>
      <c r="G12"/>
      <c r="H12"/>
    </row>
    <row r="13" spans="1:8">
      <c r="A13"/>
      <c r="B13"/>
      <c r="C13"/>
      <c r="D13"/>
      <c r="E13"/>
      <c r="F13"/>
      <c r="G13"/>
      <c r="H13"/>
    </row>
    <row r="14" spans="1:8">
      <c r="A14"/>
      <c r="B14"/>
      <c r="C14"/>
      <c r="D14"/>
      <c r="E14"/>
      <c r="F14"/>
      <c r="G14"/>
      <c r="H14"/>
    </row>
    <row r="15" spans="1:8">
      <c r="A15"/>
      <c r="B15"/>
      <c r="C15"/>
      <c r="D15"/>
      <c r="E15"/>
      <c r="F15"/>
      <c r="G15"/>
      <c r="H15"/>
    </row>
    <row r="16" spans="1:8">
      <c r="A16"/>
      <c r="B16"/>
      <c r="C16"/>
      <c r="D16"/>
      <c r="E16"/>
      <c r="F16"/>
      <c r="G16"/>
      <c r="H16"/>
    </row>
    <row r="17" spans="1:8">
      <c r="A17"/>
      <c r="B17"/>
      <c r="C17"/>
      <c r="D17"/>
      <c r="E17"/>
      <c r="F17"/>
      <c r="G17"/>
      <c r="H17"/>
    </row>
    <row r="18" spans="1:8">
      <c r="A18"/>
      <c r="B18"/>
      <c r="C18"/>
      <c r="D18"/>
      <c r="E18"/>
      <c r="F18"/>
      <c r="G18"/>
      <c r="H18"/>
    </row>
    <row r="19" spans="1:8">
      <c r="A19"/>
      <c r="B19"/>
      <c r="C19"/>
      <c r="D19"/>
      <c r="E19"/>
      <c r="F19"/>
      <c r="G19"/>
    </row>
    <row r="20" spans="1:8">
      <c r="A20"/>
      <c r="B20"/>
      <c r="C20"/>
      <c r="D20"/>
      <c r="E20"/>
      <c r="F20"/>
      <c r="G20"/>
    </row>
    <row r="21" spans="1:8">
      <c r="A21"/>
      <c r="B21"/>
      <c r="C21"/>
      <c r="D21"/>
      <c r="E21"/>
      <c r="F21"/>
      <c r="G21"/>
    </row>
    <row r="22" spans="1:8">
      <c r="A22"/>
      <c r="B22"/>
      <c r="C22"/>
      <c r="D22"/>
      <c r="E22"/>
      <c r="F22"/>
      <c r="G22"/>
    </row>
    <row r="23" spans="1:8">
      <c r="A23"/>
      <c r="B23"/>
      <c r="C23"/>
      <c r="D23"/>
      <c r="E23"/>
      <c r="F23"/>
      <c r="G23"/>
    </row>
    <row r="24" spans="1:8">
      <c r="A24"/>
      <c r="B24"/>
      <c r="C24"/>
      <c r="D24"/>
      <c r="E24"/>
      <c r="F24"/>
      <c r="G24"/>
    </row>
    <row r="25" spans="1:8">
      <c r="A25"/>
      <c r="B25"/>
      <c r="C25"/>
      <c r="D25"/>
      <c r="E25"/>
      <c r="F25"/>
      <c r="G25"/>
    </row>
    <row r="26" spans="1:8">
      <c r="A26"/>
      <c r="B26"/>
      <c r="C26"/>
      <c r="D26"/>
      <c r="E26"/>
      <c r="F26"/>
      <c r="G26"/>
    </row>
    <row r="27" spans="1:8">
      <c r="A27"/>
      <c r="B27"/>
      <c r="C27"/>
      <c r="D27"/>
      <c r="E27"/>
      <c r="F27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33C55-59E0-DB41-9BEE-BAE5CC7DABFF}">
  <sheetPr codeName="Sheet4"/>
  <dimension ref="A1:K40"/>
  <sheetViews>
    <sheetView zoomScaleNormal="100" workbookViewId="0">
      <selection activeCell="B12" sqref="B12"/>
    </sheetView>
  </sheetViews>
  <sheetFormatPr baseColWidth="10" defaultRowHeight="13"/>
  <cols>
    <col min="1" max="1" width="21" style="59" bestFit="1" customWidth="1"/>
    <col min="2" max="2" width="17" style="59" bestFit="1" customWidth="1"/>
    <col min="3" max="3" width="7.83203125" style="59" bestFit="1" customWidth="1"/>
    <col min="4" max="5" width="10" style="59" bestFit="1" customWidth="1"/>
    <col min="6" max="6" width="13.33203125" style="59" bestFit="1" customWidth="1"/>
    <col min="7" max="8" width="10" style="59" bestFit="1" customWidth="1"/>
    <col min="9" max="9" width="14" style="59" bestFit="1" customWidth="1"/>
    <col min="10" max="10" width="17.6640625" style="59" bestFit="1" customWidth="1"/>
    <col min="11" max="11" width="14" style="59" bestFit="1" customWidth="1"/>
    <col min="12" max="14" width="13.33203125" style="59" bestFit="1" customWidth="1"/>
    <col min="15" max="16" width="14" style="59" bestFit="1" customWidth="1"/>
    <col min="17" max="17" width="17.6640625" style="59" bestFit="1" customWidth="1"/>
    <col min="18" max="18" width="14" style="59" bestFit="1" customWidth="1"/>
    <col min="19" max="26" width="13.83203125" style="59" bestFit="1" customWidth="1"/>
    <col min="27" max="28" width="14" style="59" bestFit="1" customWidth="1"/>
    <col min="29" max="29" width="17.6640625" style="59" bestFit="1" customWidth="1"/>
    <col min="30" max="30" width="14" style="59" bestFit="1" customWidth="1"/>
    <col min="31" max="33" width="13.33203125" style="59" bestFit="1" customWidth="1"/>
    <col min="34" max="35" width="19.33203125" style="59" bestFit="1" customWidth="1"/>
    <col min="36" max="36" width="23.1640625" style="59" bestFit="1" customWidth="1"/>
    <col min="37" max="37" width="19.33203125" style="59" bestFit="1" customWidth="1"/>
    <col min="38" max="39" width="14" style="59" bestFit="1" customWidth="1"/>
    <col min="40" max="40" width="17.6640625" style="59" bestFit="1" customWidth="1"/>
    <col min="41" max="42" width="14" style="59" bestFit="1" customWidth="1"/>
    <col min="43" max="43" width="17.6640625" style="59" bestFit="1" customWidth="1"/>
    <col min="44" max="44" width="14" style="59" bestFit="1" customWidth="1"/>
    <col min="45" max="16384" width="10.83203125" style="59"/>
  </cols>
  <sheetData>
    <row r="1" spans="1:11">
      <c r="A1" s="59" t="s">
        <v>76</v>
      </c>
      <c r="B1" s="59" t="s">
        <v>192</v>
      </c>
    </row>
    <row r="3" spans="1:11">
      <c r="A3" s="59" t="s">
        <v>0</v>
      </c>
      <c r="B3" s="59" t="s">
        <v>55</v>
      </c>
      <c r="C3" s="59" t="s">
        <v>58</v>
      </c>
      <c r="D3" s="59" t="s">
        <v>68</v>
      </c>
      <c r="E3" s="59" t="s">
        <v>69</v>
      </c>
      <c r="F3" s="59" t="s">
        <v>70</v>
      </c>
      <c r="G3" s="59" t="s">
        <v>71</v>
      </c>
      <c r="H3" s="59" t="s">
        <v>79</v>
      </c>
      <c r="I3"/>
      <c r="J3"/>
      <c r="K3"/>
    </row>
    <row r="4" spans="1:11">
      <c r="A4" s="59" t="s">
        <v>67</v>
      </c>
      <c r="D4" s="60"/>
      <c r="E4" s="61"/>
      <c r="F4" s="61"/>
      <c r="G4" s="61"/>
      <c r="H4" s="61"/>
      <c r="I4"/>
      <c r="J4"/>
      <c r="K4"/>
    </row>
    <row r="5" spans="1:11">
      <c r="A5"/>
      <c r="B5"/>
      <c r="C5"/>
      <c r="D5"/>
      <c r="E5"/>
      <c r="F5"/>
      <c r="G5"/>
      <c r="H5"/>
      <c r="I5"/>
      <c r="J5"/>
      <c r="K5"/>
    </row>
    <row r="6" spans="1:11">
      <c r="A6"/>
      <c r="B6"/>
      <c r="C6"/>
      <c r="D6"/>
      <c r="E6"/>
      <c r="F6"/>
      <c r="G6"/>
      <c r="H6"/>
      <c r="I6"/>
      <c r="J6"/>
      <c r="K6"/>
    </row>
    <row r="7" spans="1:11">
      <c r="A7"/>
      <c r="B7"/>
      <c r="C7"/>
      <c r="D7"/>
      <c r="E7"/>
      <c r="F7"/>
      <c r="G7"/>
      <c r="H7"/>
      <c r="I7"/>
      <c r="J7"/>
      <c r="K7"/>
    </row>
    <row r="8" spans="1:11">
      <c r="A8"/>
      <c r="B8"/>
      <c r="C8"/>
      <c r="D8"/>
      <c r="E8"/>
      <c r="F8"/>
      <c r="G8"/>
      <c r="H8"/>
      <c r="I8"/>
      <c r="J8"/>
      <c r="K8"/>
    </row>
    <row r="9" spans="1:11">
      <c r="A9"/>
      <c r="B9"/>
      <c r="C9"/>
      <c r="D9"/>
      <c r="E9"/>
      <c r="F9"/>
      <c r="G9"/>
      <c r="H9"/>
      <c r="I9"/>
      <c r="J9"/>
      <c r="K9"/>
    </row>
    <row r="10" spans="1:11">
      <c r="A10"/>
      <c r="B10"/>
      <c r="C10"/>
      <c r="D10"/>
      <c r="E10"/>
      <c r="F10"/>
      <c r="G10"/>
      <c r="H10"/>
      <c r="I10"/>
      <c r="J10"/>
      <c r="K10"/>
    </row>
    <row r="11" spans="1:11">
      <c r="A11"/>
      <c r="B11"/>
      <c r="C11"/>
      <c r="D11"/>
      <c r="E11"/>
      <c r="F11"/>
      <c r="G11"/>
      <c r="H11"/>
      <c r="I11"/>
      <c r="J11"/>
      <c r="K11"/>
    </row>
    <row r="12" spans="1:11">
      <c r="A12"/>
      <c r="B12"/>
      <c r="C12"/>
      <c r="D12"/>
      <c r="E12"/>
      <c r="F12"/>
      <c r="G12"/>
      <c r="H12"/>
      <c r="I12"/>
      <c r="J12"/>
      <c r="K12"/>
    </row>
    <row r="13" spans="1:11">
      <c r="A13"/>
      <c r="B13"/>
      <c r="C13"/>
      <c r="D13"/>
      <c r="E13"/>
      <c r="F13"/>
      <c r="G13"/>
      <c r="H13"/>
      <c r="I13"/>
      <c r="J13"/>
      <c r="K13"/>
    </row>
    <row r="14" spans="1:11">
      <c r="A14"/>
      <c r="B14"/>
      <c r="C14"/>
      <c r="D14"/>
      <c r="E14"/>
      <c r="F14"/>
      <c r="G14"/>
      <c r="H14"/>
      <c r="I14"/>
      <c r="J14"/>
      <c r="K14"/>
    </row>
    <row r="15" spans="1:11">
      <c r="A15"/>
      <c r="B15"/>
      <c r="C15"/>
      <c r="D15"/>
      <c r="E15"/>
      <c r="F15"/>
      <c r="G15"/>
      <c r="H15"/>
      <c r="I15"/>
      <c r="J15"/>
      <c r="K15"/>
    </row>
    <row r="16" spans="1:11">
      <c r="A16"/>
      <c r="B16"/>
      <c r="C16"/>
      <c r="D16"/>
      <c r="E16"/>
      <c r="F16"/>
      <c r="G16"/>
      <c r="H16"/>
      <c r="I16"/>
      <c r="J16"/>
      <c r="K16"/>
    </row>
    <row r="17" spans="1:11">
      <c r="A17"/>
      <c r="B17"/>
      <c r="C17"/>
      <c r="D17"/>
      <c r="E17"/>
      <c r="F17"/>
      <c r="G17"/>
      <c r="H17"/>
      <c r="I17"/>
      <c r="J17"/>
      <c r="K17"/>
    </row>
    <row r="18" spans="1:11">
      <c r="A18"/>
      <c r="B18"/>
      <c r="C18"/>
      <c r="D18"/>
      <c r="E18"/>
      <c r="F18"/>
      <c r="G18"/>
      <c r="H18"/>
      <c r="I18"/>
      <c r="J18"/>
      <c r="K18"/>
    </row>
    <row r="19" spans="1:11">
      <c r="A19"/>
      <c r="B19"/>
      <c r="C19"/>
      <c r="D19"/>
      <c r="E19"/>
      <c r="F19"/>
      <c r="G19"/>
      <c r="H19"/>
    </row>
    <row r="20" spans="1:11">
      <c r="A20"/>
      <c r="B20"/>
      <c r="C20"/>
      <c r="D20"/>
      <c r="E20"/>
      <c r="F20"/>
      <c r="G20"/>
      <c r="H20"/>
    </row>
    <row r="21" spans="1:11">
      <c r="A21"/>
      <c r="B21"/>
      <c r="C21"/>
      <c r="D21"/>
      <c r="E21"/>
      <c r="F21"/>
      <c r="G21"/>
      <c r="H21"/>
    </row>
    <row r="22" spans="1:11">
      <c r="A22"/>
      <c r="B22"/>
      <c r="C22"/>
      <c r="D22"/>
      <c r="E22"/>
      <c r="F22"/>
      <c r="G22"/>
      <c r="H22"/>
    </row>
    <row r="23" spans="1:11">
      <c r="A23"/>
      <c r="B23"/>
      <c r="C23"/>
      <c r="D23"/>
      <c r="E23"/>
      <c r="F23"/>
      <c r="G23"/>
      <c r="H23"/>
    </row>
    <row r="24" spans="1:11">
      <c r="A24"/>
      <c r="B24"/>
      <c r="C24"/>
      <c r="D24"/>
      <c r="E24"/>
      <c r="F24"/>
      <c r="G24"/>
      <c r="H24"/>
    </row>
    <row r="25" spans="1:11">
      <c r="A25"/>
      <c r="B25"/>
      <c r="C25"/>
      <c r="D25"/>
      <c r="E25"/>
      <c r="F25"/>
      <c r="G25"/>
      <c r="H25"/>
    </row>
    <row r="26" spans="1:11">
      <c r="A26"/>
      <c r="B26"/>
      <c r="C26"/>
      <c r="D26"/>
      <c r="E26"/>
      <c r="F26"/>
      <c r="G26"/>
      <c r="H26"/>
    </row>
    <row r="27" spans="1:11">
      <c r="A27"/>
      <c r="B27"/>
      <c r="C27"/>
      <c r="D27"/>
      <c r="E27"/>
      <c r="F27"/>
      <c r="G27"/>
      <c r="H27"/>
    </row>
    <row r="28" spans="1:11">
      <c r="A28"/>
      <c r="B28"/>
      <c r="C28"/>
      <c r="D28"/>
      <c r="E28"/>
      <c r="F28"/>
      <c r="G28"/>
      <c r="H28"/>
    </row>
    <row r="29" spans="1:11">
      <c r="A29"/>
      <c r="B29"/>
      <c r="C29"/>
      <c r="D29"/>
      <c r="E29"/>
      <c r="F29"/>
      <c r="G29"/>
      <c r="H29"/>
    </row>
    <row r="30" spans="1:11">
      <c r="A30"/>
      <c r="B30"/>
      <c r="C30"/>
      <c r="D30"/>
      <c r="E30"/>
      <c r="F30"/>
      <c r="G30"/>
      <c r="H30"/>
    </row>
    <row r="31" spans="1:11">
      <c r="A31"/>
      <c r="B31"/>
      <c r="C31"/>
      <c r="D31"/>
      <c r="E31"/>
      <c r="F31"/>
      <c r="G31"/>
      <c r="H31"/>
    </row>
    <row r="32" spans="1:11">
      <c r="A32"/>
      <c r="B32"/>
      <c r="C32"/>
      <c r="D32"/>
      <c r="E32"/>
      <c r="F32"/>
      <c r="G32"/>
      <c r="H32"/>
    </row>
    <row r="33" spans="1:8">
      <c r="A33"/>
      <c r="B33"/>
      <c r="C33"/>
      <c r="D33"/>
      <c r="E33"/>
      <c r="F33"/>
      <c r="G33"/>
      <c r="H33"/>
    </row>
    <row r="34" spans="1:8">
      <c r="A34"/>
      <c r="B34"/>
      <c r="C34"/>
      <c r="D34"/>
      <c r="E34"/>
      <c r="F34"/>
      <c r="G34"/>
      <c r="H34"/>
    </row>
    <row r="35" spans="1:8">
      <c r="A35"/>
      <c r="B35"/>
      <c r="C35"/>
      <c r="D35"/>
      <c r="E35"/>
      <c r="F35"/>
      <c r="G35"/>
    </row>
    <row r="36" spans="1:8">
      <c r="A36"/>
      <c r="B36"/>
      <c r="C36"/>
      <c r="D36"/>
      <c r="E36"/>
      <c r="F36"/>
      <c r="G36"/>
    </row>
    <row r="37" spans="1:8">
      <c r="A37"/>
      <c r="B37"/>
      <c r="C37"/>
      <c r="D37"/>
      <c r="E37"/>
      <c r="F37"/>
      <c r="G37"/>
    </row>
    <row r="38" spans="1:8">
      <c r="A38"/>
      <c r="B38"/>
      <c r="C38"/>
      <c r="D38"/>
      <c r="E38"/>
      <c r="F38"/>
      <c r="G38"/>
    </row>
    <row r="39" spans="1:8">
      <c r="A39"/>
      <c r="B39"/>
      <c r="C39"/>
      <c r="D39"/>
      <c r="E39"/>
      <c r="F39"/>
      <c r="G39"/>
    </row>
    <row r="40" spans="1:8">
      <c r="A40"/>
      <c r="B40"/>
      <c r="C40"/>
      <c r="D40"/>
      <c r="E40"/>
      <c r="F40"/>
      <c r="G40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FAE95-1667-4C43-934D-DA7F332C05BF}">
  <sheetPr codeName="Sheet5"/>
  <dimension ref="A1:H40"/>
  <sheetViews>
    <sheetView zoomScaleNormal="100" workbookViewId="0">
      <selection activeCell="B13" sqref="B13:B14"/>
    </sheetView>
  </sheetViews>
  <sheetFormatPr baseColWidth="10" defaultRowHeight="13"/>
  <cols>
    <col min="1" max="1" width="21" style="59" bestFit="1" customWidth="1"/>
    <col min="2" max="2" width="17" style="59" bestFit="1" customWidth="1"/>
    <col min="3" max="3" width="7.83203125" style="59" bestFit="1" customWidth="1"/>
    <col min="4" max="5" width="10" style="59" bestFit="1" customWidth="1"/>
    <col min="6" max="6" width="13.33203125" style="59" bestFit="1" customWidth="1"/>
    <col min="7" max="8" width="10" style="59" bestFit="1" customWidth="1"/>
    <col min="9" max="17" width="13.33203125" style="59" bestFit="1" customWidth="1"/>
    <col min="18" max="16384" width="10.83203125" style="59"/>
  </cols>
  <sheetData>
    <row r="1" spans="1:8">
      <c r="A1" s="59" t="s">
        <v>77</v>
      </c>
      <c r="B1" s="59" t="s">
        <v>192</v>
      </c>
    </row>
    <row r="3" spans="1:8">
      <c r="A3" s="59" t="s">
        <v>0</v>
      </c>
      <c r="B3" s="59" t="s">
        <v>55</v>
      </c>
      <c r="C3" s="59" t="s">
        <v>58</v>
      </c>
      <c r="D3" s="59" t="s">
        <v>68</v>
      </c>
      <c r="E3" s="59" t="s">
        <v>69</v>
      </c>
      <c r="F3" s="59" t="s">
        <v>70</v>
      </c>
      <c r="G3" s="59" t="s">
        <v>71</v>
      </c>
      <c r="H3" s="59" t="s">
        <v>79</v>
      </c>
    </row>
    <row r="4" spans="1:8">
      <c r="A4" s="59" t="s">
        <v>67</v>
      </c>
      <c r="D4" s="60"/>
      <c r="E4" s="61"/>
      <c r="F4" s="61"/>
      <c r="G4" s="61"/>
      <c r="H4" s="61"/>
    </row>
    <row r="5" spans="1:8">
      <c r="A5"/>
      <c r="B5"/>
      <c r="C5"/>
      <c r="D5"/>
      <c r="E5"/>
      <c r="F5"/>
      <c r="G5"/>
      <c r="H5"/>
    </row>
    <row r="6" spans="1:8">
      <c r="A6"/>
      <c r="B6"/>
      <c r="C6"/>
      <c r="D6"/>
      <c r="E6"/>
      <c r="F6"/>
      <c r="G6"/>
      <c r="H6"/>
    </row>
    <row r="7" spans="1:8">
      <c r="A7"/>
      <c r="B7"/>
      <c r="C7"/>
      <c r="D7"/>
      <c r="E7"/>
      <c r="F7"/>
      <c r="G7"/>
      <c r="H7"/>
    </row>
    <row r="8" spans="1:8">
      <c r="A8"/>
      <c r="B8"/>
      <c r="C8"/>
      <c r="D8"/>
      <c r="E8"/>
      <c r="F8"/>
      <c r="G8"/>
      <c r="H8"/>
    </row>
    <row r="9" spans="1:8">
      <c r="A9"/>
      <c r="B9"/>
      <c r="C9"/>
      <c r="D9"/>
      <c r="E9"/>
      <c r="F9"/>
      <c r="G9"/>
      <c r="H9"/>
    </row>
    <row r="10" spans="1:8">
      <c r="A10"/>
      <c r="B10"/>
      <c r="C10"/>
      <c r="D10"/>
      <c r="E10"/>
      <c r="F10"/>
      <c r="G10"/>
      <c r="H10"/>
    </row>
    <row r="11" spans="1:8">
      <c r="A11"/>
      <c r="B11"/>
      <c r="C11"/>
      <c r="D11"/>
      <c r="E11"/>
      <c r="F11"/>
      <c r="G11"/>
      <c r="H11"/>
    </row>
    <row r="12" spans="1:8">
      <c r="A12"/>
      <c r="B12"/>
      <c r="C12"/>
      <c r="D12"/>
      <c r="E12"/>
      <c r="F12"/>
      <c r="G12"/>
      <c r="H12"/>
    </row>
    <row r="13" spans="1:8">
      <c r="A13"/>
      <c r="B13"/>
      <c r="C13"/>
      <c r="D13"/>
      <c r="E13"/>
      <c r="F13"/>
      <c r="G13"/>
      <c r="H13"/>
    </row>
    <row r="14" spans="1:8">
      <c r="A14"/>
      <c r="B14"/>
      <c r="C14"/>
      <c r="D14"/>
      <c r="E14"/>
      <c r="F14"/>
      <c r="G14"/>
      <c r="H14"/>
    </row>
    <row r="15" spans="1:8">
      <c r="A15"/>
      <c r="B15"/>
      <c r="C15"/>
      <c r="D15"/>
      <c r="E15"/>
      <c r="F15"/>
      <c r="G15"/>
      <c r="H15"/>
    </row>
    <row r="16" spans="1:8">
      <c r="A16"/>
      <c r="B16"/>
      <c r="C16"/>
      <c r="D16"/>
      <c r="E16"/>
      <c r="F16"/>
      <c r="G16"/>
      <c r="H16"/>
    </row>
    <row r="17" spans="1:8">
      <c r="A17"/>
      <c r="B17"/>
      <c r="C17"/>
      <c r="D17"/>
      <c r="E17"/>
      <c r="F17"/>
      <c r="G17"/>
      <c r="H17"/>
    </row>
    <row r="18" spans="1:8">
      <c r="A18"/>
      <c r="B18"/>
      <c r="C18"/>
      <c r="D18"/>
      <c r="E18"/>
      <c r="F18"/>
      <c r="G18"/>
      <c r="H18"/>
    </row>
    <row r="19" spans="1:8">
      <c r="A19"/>
      <c r="B19"/>
      <c r="C19"/>
      <c r="D19"/>
      <c r="E19"/>
      <c r="F19"/>
      <c r="G19"/>
      <c r="H19"/>
    </row>
    <row r="20" spans="1:8">
      <c r="A20"/>
      <c r="B20"/>
      <c r="C20"/>
      <c r="D20"/>
      <c r="E20"/>
      <c r="F20"/>
      <c r="G20"/>
      <c r="H20"/>
    </row>
    <row r="21" spans="1:8">
      <c r="A21"/>
      <c r="B21"/>
      <c r="C21"/>
      <c r="D21"/>
      <c r="E21"/>
      <c r="F21"/>
      <c r="G21"/>
      <c r="H21"/>
    </row>
    <row r="22" spans="1:8">
      <c r="A22"/>
      <c r="B22"/>
      <c r="C22"/>
      <c r="D22"/>
      <c r="E22"/>
      <c r="F22"/>
      <c r="G22"/>
      <c r="H22"/>
    </row>
    <row r="23" spans="1:8">
      <c r="A23"/>
      <c r="B23"/>
      <c r="C23"/>
      <c r="D23"/>
      <c r="E23"/>
      <c r="F23"/>
      <c r="G23"/>
      <c r="H23"/>
    </row>
    <row r="24" spans="1:8">
      <c r="A24"/>
      <c r="B24"/>
      <c r="C24"/>
      <c r="D24"/>
      <c r="E24"/>
      <c r="F24"/>
      <c r="G24"/>
      <c r="H24"/>
    </row>
    <row r="25" spans="1:8">
      <c r="A25"/>
      <c r="B25"/>
      <c r="C25"/>
      <c r="D25"/>
      <c r="E25"/>
      <c r="F25"/>
      <c r="G25"/>
      <c r="H25"/>
    </row>
    <row r="26" spans="1:8">
      <c r="A26"/>
      <c r="B26"/>
      <c r="C26"/>
      <c r="D26"/>
      <c r="E26"/>
      <c r="F26"/>
      <c r="G26"/>
      <c r="H26"/>
    </row>
    <row r="27" spans="1:8">
      <c r="A27"/>
      <c r="B27"/>
      <c r="C27"/>
      <c r="D27"/>
      <c r="E27"/>
      <c r="F27"/>
      <c r="G27"/>
      <c r="H27"/>
    </row>
    <row r="28" spans="1:8">
      <c r="A28"/>
      <c r="B28"/>
      <c r="C28"/>
      <c r="D28"/>
      <c r="E28"/>
      <c r="F28"/>
      <c r="G28"/>
      <c r="H28"/>
    </row>
    <row r="29" spans="1:8">
      <c r="A29"/>
      <c r="B29"/>
      <c r="C29"/>
      <c r="D29"/>
      <c r="E29"/>
      <c r="F29"/>
      <c r="G29"/>
      <c r="H29"/>
    </row>
    <row r="30" spans="1:8">
      <c r="A30"/>
      <c r="B30"/>
      <c r="C30"/>
      <c r="D30"/>
      <c r="E30"/>
      <c r="F30"/>
      <c r="G30"/>
      <c r="H30"/>
    </row>
    <row r="31" spans="1:8">
      <c r="A31"/>
      <c r="B31"/>
      <c r="C31"/>
      <c r="D31"/>
      <c r="E31"/>
      <c r="F31"/>
      <c r="G31"/>
      <c r="H31"/>
    </row>
    <row r="32" spans="1:8">
      <c r="A32"/>
      <c r="B32"/>
      <c r="C32"/>
      <c r="D32"/>
      <c r="E32"/>
      <c r="F32"/>
      <c r="G32"/>
      <c r="H32"/>
    </row>
    <row r="33" spans="1:8">
      <c r="A33"/>
      <c r="B33"/>
      <c r="C33"/>
      <c r="D33"/>
      <c r="E33"/>
      <c r="F33"/>
      <c r="G33"/>
      <c r="H33"/>
    </row>
    <row r="34" spans="1:8">
      <c r="A34"/>
      <c r="B34"/>
      <c r="C34"/>
      <c r="D34"/>
      <c r="E34"/>
      <c r="F34"/>
      <c r="G34"/>
      <c r="H34"/>
    </row>
    <row r="35" spans="1:8">
      <c r="A35"/>
      <c r="B35"/>
      <c r="C35"/>
      <c r="D35"/>
      <c r="E35"/>
      <c r="F35"/>
      <c r="G35"/>
    </row>
    <row r="36" spans="1:8">
      <c r="A36"/>
      <c r="B36"/>
      <c r="C36"/>
      <c r="D36"/>
      <c r="E36"/>
      <c r="F36"/>
      <c r="G36"/>
    </row>
    <row r="37" spans="1:8">
      <c r="A37"/>
      <c r="B37"/>
      <c r="C37"/>
      <c r="D37"/>
      <c r="E37"/>
      <c r="F37"/>
      <c r="G37"/>
    </row>
    <row r="38" spans="1:8">
      <c r="A38"/>
      <c r="B38"/>
      <c r="C38"/>
      <c r="D38"/>
      <c r="E38"/>
      <c r="F38"/>
      <c r="G38"/>
    </row>
    <row r="39" spans="1:8">
      <c r="A39"/>
      <c r="B39"/>
      <c r="C39"/>
      <c r="D39"/>
      <c r="E39"/>
      <c r="F39"/>
      <c r="G39"/>
    </row>
    <row r="40" spans="1:8">
      <c r="A40"/>
      <c r="B40"/>
      <c r="C40"/>
      <c r="D40"/>
      <c r="E40"/>
      <c r="F40"/>
      <c r="G40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F7ED7-7E29-DA4D-B15A-5A19EF93DB89}">
  <sheetPr codeName="Sheet7"/>
  <dimension ref="A1:K40"/>
  <sheetViews>
    <sheetView zoomScaleNormal="100" workbookViewId="0">
      <pane ySplit="1" topLeftCell="A2" activePane="bottomLeft" state="frozen"/>
      <selection pane="bottomLeft" activeCell="I5" sqref="I5"/>
    </sheetView>
  </sheetViews>
  <sheetFormatPr baseColWidth="10" defaultRowHeight="13"/>
  <cols>
    <col min="1" max="1" width="20.1640625" style="34" customWidth="1"/>
    <col min="2" max="2" width="9" style="37" customWidth="1"/>
    <col min="3" max="3" width="14.1640625" style="37" customWidth="1"/>
    <col min="4" max="4" width="9.1640625" style="37" customWidth="1"/>
    <col min="5" max="5" width="12" style="37" bestFit="1" customWidth="1"/>
    <col min="6" max="6" width="8.6640625" style="37" bestFit="1" customWidth="1"/>
    <col min="7" max="7" width="20.83203125" style="37" customWidth="1"/>
    <col min="8" max="8" width="19.5" style="37" customWidth="1"/>
    <col min="9" max="9" width="8.6640625" style="37" bestFit="1" customWidth="1"/>
    <col min="10" max="16384" width="10.83203125" style="37"/>
  </cols>
  <sheetData>
    <row r="1" spans="1:11" s="33" customFormat="1" ht="15">
      <c r="A1" s="67" t="s">
        <v>28</v>
      </c>
      <c r="B1" s="68" t="s">
        <v>53</v>
      </c>
      <c r="C1" s="69" t="s">
        <v>206</v>
      </c>
      <c r="D1" s="69" t="s">
        <v>207</v>
      </c>
      <c r="E1" s="69" t="s">
        <v>208</v>
      </c>
      <c r="F1" s="69" t="s">
        <v>209</v>
      </c>
      <c r="G1" s="69" t="s">
        <v>210</v>
      </c>
      <c r="H1" s="69" t="s">
        <v>211</v>
      </c>
      <c r="I1" s="69" t="s">
        <v>212</v>
      </c>
      <c r="J1" s="69" t="s">
        <v>213</v>
      </c>
      <c r="K1" s="69" t="s">
        <v>214</v>
      </c>
    </row>
    <row r="2" spans="1:11">
      <c r="A2" s="64" t="s">
        <v>54</v>
      </c>
      <c r="B2" s="35" t="s">
        <v>53</v>
      </c>
      <c r="C2" s="35" t="s">
        <v>53</v>
      </c>
      <c r="D2" s="35" t="s">
        <v>53</v>
      </c>
      <c r="E2" s="35" t="s">
        <v>53</v>
      </c>
      <c r="F2" s="35" t="s">
        <v>53</v>
      </c>
      <c r="G2" s="35" t="s">
        <v>53</v>
      </c>
      <c r="H2" s="35" t="s">
        <v>53</v>
      </c>
      <c r="I2" s="35" t="s">
        <v>53</v>
      </c>
      <c r="J2" s="35" t="s">
        <v>53</v>
      </c>
      <c r="K2" s="35" t="s">
        <v>53</v>
      </c>
    </row>
    <row r="3" spans="1:11" ht="15">
      <c r="A3" s="147" t="s">
        <v>206</v>
      </c>
      <c r="C3" s="35" t="s">
        <v>215</v>
      </c>
      <c r="D3" s="35" t="s">
        <v>220</v>
      </c>
      <c r="E3" s="148" t="s">
        <v>230</v>
      </c>
      <c r="F3" s="35" t="s">
        <v>235</v>
      </c>
      <c r="G3" s="35" t="s">
        <v>240</v>
      </c>
      <c r="H3" s="35" t="s">
        <v>250</v>
      </c>
      <c r="I3" s="65" t="s">
        <v>260</v>
      </c>
      <c r="J3" s="35" t="s">
        <v>265</v>
      </c>
      <c r="K3" s="35" t="s">
        <v>270</v>
      </c>
    </row>
    <row r="4" spans="1:11" ht="15">
      <c r="A4" s="147" t="s">
        <v>207</v>
      </c>
      <c r="C4" s="35" t="s">
        <v>216</v>
      </c>
      <c r="D4" s="35" t="s">
        <v>221</v>
      </c>
      <c r="E4" s="148" t="s">
        <v>231</v>
      </c>
      <c r="F4" s="35" t="s">
        <v>236</v>
      </c>
      <c r="G4" s="35" t="s">
        <v>241</v>
      </c>
      <c r="H4" s="35" t="s">
        <v>251</v>
      </c>
      <c r="I4" s="65" t="s">
        <v>261</v>
      </c>
      <c r="J4" s="35" t="s">
        <v>266</v>
      </c>
      <c r="K4" s="35" t="s">
        <v>271</v>
      </c>
    </row>
    <row r="5" spans="1:11" ht="15">
      <c r="A5" s="147" t="s">
        <v>208</v>
      </c>
      <c r="C5" s="35" t="s">
        <v>217</v>
      </c>
      <c r="D5" s="35" t="s">
        <v>222</v>
      </c>
      <c r="E5" s="148" t="s">
        <v>232</v>
      </c>
      <c r="F5" s="35" t="s">
        <v>237</v>
      </c>
      <c r="G5" s="35" t="s">
        <v>242</v>
      </c>
      <c r="H5" s="35" t="s">
        <v>252</v>
      </c>
      <c r="I5" s="65" t="s">
        <v>262</v>
      </c>
      <c r="J5" s="35" t="s">
        <v>267</v>
      </c>
      <c r="K5" s="35" t="s">
        <v>272</v>
      </c>
    </row>
    <row r="6" spans="1:11" ht="15">
      <c r="A6" s="147" t="s">
        <v>209</v>
      </c>
      <c r="C6" s="35" t="s">
        <v>218</v>
      </c>
      <c r="D6" s="35" t="s">
        <v>223</v>
      </c>
      <c r="E6" s="148" t="s">
        <v>233</v>
      </c>
      <c r="F6" s="35" t="s">
        <v>238</v>
      </c>
      <c r="G6" s="35" t="s">
        <v>243</v>
      </c>
      <c r="H6" s="35" t="s">
        <v>253</v>
      </c>
      <c r="I6" s="65" t="s">
        <v>263</v>
      </c>
      <c r="J6" s="35" t="s">
        <v>268</v>
      </c>
      <c r="K6" s="35" t="s">
        <v>273</v>
      </c>
    </row>
    <row r="7" spans="1:11" ht="15">
      <c r="A7" s="147" t="s">
        <v>210</v>
      </c>
      <c r="C7" s="35" t="s">
        <v>219</v>
      </c>
      <c r="D7" s="35" t="s">
        <v>224</v>
      </c>
      <c r="E7" s="148" t="s">
        <v>234</v>
      </c>
      <c r="F7" s="35" t="s">
        <v>239</v>
      </c>
      <c r="G7" s="35" t="s">
        <v>244</v>
      </c>
      <c r="H7" s="35" t="s">
        <v>254</v>
      </c>
      <c r="I7" s="65" t="s">
        <v>264</v>
      </c>
      <c r="J7" s="35" t="s">
        <v>269</v>
      </c>
      <c r="K7" s="35" t="s">
        <v>274</v>
      </c>
    </row>
    <row r="8" spans="1:11">
      <c r="A8" s="147" t="s">
        <v>211</v>
      </c>
      <c r="C8" s="35"/>
      <c r="D8" s="35" t="s">
        <v>225</v>
      </c>
      <c r="E8" s="39"/>
      <c r="G8" s="35" t="s">
        <v>245</v>
      </c>
      <c r="H8" s="35" t="s">
        <v>255</v>
      </c>
      <c r="I8" s="66"/>
      <c r="K8" s="35" t="s">
        <v>275</v>
      </c>
    </row>
    <row r="9" spans="1:11">
      <c r="A9" s="147" t="s">
        <v>212</v>
      </c>
      <c r="C9" s="35"/>
      <c r="D9" s="35" t="s">
        <v>226</v>
      </c>
      <c r="E9" s="38"/>
      <c r="G9" s="35" t="s">
        <v>246</v>
      </c>
      <c r="H9" s="35" t="s">
        <v>256</v>
      </c>
      <c r="I9" s="66"/>
      <c r="K9" s="35" t="s">
        <v>276</v>
      </c>
    </row>
    <row r="10" spans="1:11" ht="15">
      <c r="A10" s="147" t="s">
        <v>213</v>
      </c>
      <c r="B10" s="36"/>
      <c r="C10" s="35"/>
      <c r="D10" s="35" t="s">
        <v>227</v>
      </c>
      <c r="E10" s="38"/>
      <c r="G10" s="35" t="s">
        <v>247</v>
      </c>
      <c r="H10" s="35" t="s">
        <v>257</v>
      </c>
      <c r="I10" s="66"/>
      <c r="K10" s="35" t="s">
        <v>277</v>
      </c>
    </row>
    <row r="11" spans="1:11">
      <c r="A11" s="147" t="s">
        <v>214</v>
      </c>
      <c r="C11" s="35"/>
      <c r="D11" s="35" t="s">
        <v>228</v>
      </c>
      <c r="E11" s="38"/>
      <c r="G11" s="35" t="s">
        <v>248</v>
      </c>
      <c r="H11" s="35" t="s">
        <v>258</v>
      </c>
      <c r="I11" s="66"/>
      <c r="K11" s="35" t="s">
        <v>278</v>
      </c>
    </row>
    <row r="12" spans="1:11">
      <c r="A12" s="64"/>
      <c r="C12" s="35"/>
      <c r="D12" s="35" t="s">
        <v>229</v>
      </c>
      <c r="E12" s="38"/>
      <c r="G12" s="35" t="s">
        <v>249</v>
      </c>
      <c r="H12" s="35" t="s">
        <v>259</v>
      </c>
      <c r="I12" s="66"/>
      <c r="K12" s="35" t="s">
        <v>279</v>
      </c>
    </row>
    <row r="13" spans="1:11">
      <c r="A13" s="64"/>
      <c r="C13" s="35"/>
      <c r="E13" s="38"/>
      <c r="I13" s="66"/>
    </row>
    <row r="14" spans="1:11">
      <c r="A14" s="64"/>
      <c r="C14" s="35"/>
      <c r="E14" s="38"/>
      <c r="I14" s="66"/>
    </row>
    <row r="15" spans="1:11">
      <c r="A15" s="64"/>
      <c r="C15" s="35"/>
      <c r="E15" s="38"/>
      <c r="I15" s="66"/>
    </row>
    <row r="16" spans="1:11">
      <c r="A16" s="64"/>
      <c r="C16" s="35"/>
      <c r="E16" s="38"/>
      <c r="I16" s="66"/>
    </row>
    <row r="17" spans="1:9">
      <c r="A17" s="64"/>
      <c r="C17" s="35"/>
      <c r="E17" s="38"/>
      <c r="I17" s="66"/>
    </row>
    <row r="18" spans="1:9">
      <c r="A18" s="64"/>
      <c r="C18" s="35"/>
      <c r="E18" s="38"/>
      <c r="I18" s="66"/>
    </row>
    <row r="19" spans="1:9">
      <c r="A19" s="64"/>
      <c r="E19" s="38"/>
      <c r="I19" s="66"/>
    </row>
    <row r="20" spans="1:9">
      <c r="A20" s="64"/>
      <c r="C20" s="35"/>
      <c r="E20" s="38"/>
      <c r="I20" s="66"/>
    </row>
    <row r="21" spans="1:9">
      <c r="A21" s="64"/>
      <c r="E21" s="39"/>
      <c r="I21" s="66"/>
    </row>
    <row r="22" spans="1:9">
      <c r="A22" s="64"/>
      <c r="E22" s="38"/>
      <c r="I22" s="66"/>
    </row>
    <row r="23" spans="1:9">
      <c r="A23" s="64"/>
      <c r="E23" s="38"/>
      <c r="I23" s="66"/>
    </row>
    <row r="24" spans="1:9">
      <c r="A24" s="64"/>
      <c r="E24" s="39"/>
      <c r="I24" s="66"/>
    </row>
    <row r="25" spans="1:9">
      <c r="A25" s="64"/>
      <c r="E25" s="39"/>
      <c r="I25" s="66"/>
    </row>
    <row r="26" spans="1:9">
      <c r="A26" s="64"/>
      <c r="E26" s="39"/>
      <c r="I26" s="66"/>
    </row>
    <row r="27" spans="1:9">
      <c r="A27" s="64"/>
      <c r="E27" s="39"/>
      <c r="I27" s="66"/>
    </row>
    <row r="28" spans="1:9">
      <c r="A28" s="64"/>
      <c r="E28" s="39"/>
      <c r="I28" s="66"/>
    </row>
    <row r="29" spans="1:9">
      <c r="A29" s="64"/>
      <c r="E29" s="39"/>
      <c r="I29" s="66"/>
    </row>
    <row r="30" spans="1:9">
      <c r="A30" s="64"/>
      <c r="E30" s="39"/>
      <c r="I30" s="66"/>
    </row>
    <row r="31" spans="1:9">
      <c r="A31" s="64"/>
      <c r="E31" s="39"/>
      <c r="I31" s="66"/>
    </row>
    <row r="32" spans="1:9">
      <c r="A32" s="64"/>
      <c r="E32" s="39"/>
      <c r="I32" s="66"/>
    </row>
    <row r="33" spans="1:11">
      <c r="A33" s="64"/>
      <c r="E33" s="39"/>
      <c r="I33" s="66"/>
    </row>
    <row r="34" spans="1:11">
      <c r="A34" s="64"/>
      <c r="E34" s="39"/>
      <c r="I34" s="66"/>
    </row>
    <row r="35" spans="1:11">
      <c r="A35" s="64"/>
      <c r="E35" s="39"/>
      <c r="I35" s="66"/>
    </row>
    <row r="36" spans="1:11">
      <c r="A36" s="64"/>
      <c r="E36" s="39"/>
      <c r="I36" s="66"/>
    </row>
    <row r="37" spans="1:11">
      <c r="A37" s="64"/>
      <c r="E37" s="39"/>
      <c r="I37" s="66"/>
    </row>
    <row r="38" spans="1:11">
      <c r="A38" s="70"/>
      <c r="B38" s="71"/>
      <c r="C38" s="71"/>
      <c r="D38" s="71"/>
      <c r="E38" s="72"/>
      <c r="F38" s="71"/>
      <c r="G38" s="71"/>
      <c r="H38" s="71"/>
      <c r="I38" s="73"/>
      <c r="J38" s="71"/>
      <c r="K38" s="71"/>
    </row>
    <row r="40" spans="1:11">
      <c r="E40" s="39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85"/>
  <sheetViews>
    <sheetView zoomScaleNormal="100" workbookViewId="0">
      <pane ySplit="1" topLeftCell="A2" activePane="bottomLeft" state="frozen"/>
      <selection pane="bottomLeft" activeCell="A6" sqref="A6"/>
    </sheetView>
  </sheetViews>
  <sheetFormatPr baseColWidth="10" defaultRowHeight="13"/>
  <cols>
    <col min="1" max="1" width="23.1640625" style="37" bestFit="1" customWidth="1"/>
    <col min="2" max="2" width="6.83203125" style="37" customWidth="1"/>
    <col min="3" max="3" width="15.1640625" style="37" customWidth="1"/>
    <col min="4" max="4" width="13.5" style="37" customWidth="1"/>
    <col min="5" max="5" width="10.1640625" style="37" customWidth="1"/>
    <col min="6" max="6" width="70" style="37" bestFit="1" customWidth="1"/>
    <col min="7" max="7" width="22.33203125" style="37" bestFit="1" customWidth="1"/>
    <col min="8" max="8" width="49" style="37" bestFit="1" customWidth="1"/>
    <col min="9" max="9" width="8.5" style="37" customWidth="1"/>
    <col min="10" max="10" width="6.83203125" style="37" customWidth="1"/>
    <col min="11" max="11" width="10.1640625" style="37" customWidth="1"/>
    <col min="12" max="12" width="13.5" style="37" customWidth="1"/>
    <col min="13" max="13" width="10.1640625" style="37" customWidth="1"/>
    <col min="14" max="14" width="25.6640625" style="37" bestFit="1" customWidth="1"/>
    <col min="15" max="15" width="6.83203125" style="37" customWidth="1"/>
    <col min="16" max="16" width="8.6640625" style="37" bestFit="1" customWidth="1"/>
    <col min="17" max="17" width="10.1640625" style="37" customWidth="1"/>
    <col min="18" max="256" width="8.83203125" style="37" customWidth="1"/>
    <col min="257" max="16384" width="10.83203125" style="37"/>
  </cols>
  <sheetData>
    <row r="1" spans="1:17" s="33" customFormat="1">
      <c r="A1" s="77" t="s">
        <v>4</v>
      </c>
      <c r="B1" s="75" t="s">
        <v>1</v>
      </c>
      <c r="C1" s="76" t="s">
        <v>2</v>
      </c>
      <c r="D1" s="76" t="s">
        <v>3</v>
      </c>
      <c r="E1" s="76" t="s">
        <v>5</v>
      </c>
      <c r="F1" s="76" t="s">
        <v>6</v>
      </c>
      <c r="G1" s="76" t="s">
        <v>7</v>
      </c>
      <c r="H1" s="76" t="s">
        <v>8</v>
      </c>
      <c r="I1" s="76" t="s">
        <v>9</v>
      </c>
      <c r="J1" s="76" t="s">
        <v>10</v>
      </c>
      <c r="K1" s="76" t="s">
        <v>11</v>
      </c>
      <c r="L1" s="76" t="s">
        <v>12</v>
      </c>
      <c r="M1" s="76" t="s">
        <v>13</v>
      </c>
      <c r="N1" s="76" t="s">
        <v>14</v>
      </c>
      <c r="O1" s="76" t="s">
        <v>15</v>
      </c>
      <c r="P1" s="76" t="s">
        <v>16</v>
      </c>
      <c r="Q1" s="79" t="s">
        <v>17</v>
      </c>
    </row>
    <row r="2" spans="1:17">
      <c r="A2" s="78"/>
      <c r="B2" s="74"/>
      <c r="K2" s="35"/>
      <c r="L2" s="35"/>
      <c r="M2" s="35"/>
      <c r="Q2" s="66"/>
    </row>
    <row r="3" spans="1:17">
      <c r="A3" s="78"/>
      <c r="B3" s="74"/>
      <c r="Q3" s="66"/>
    </row>
    <row r="4" spans="1:17">
      <c r="A4" s="78"/>
      <c r="B4" s="74"/>
      <c r="Q4" s="66"/>
    </row>
    <row r="5" spans="1:17">
      <c r="A5" s="78"/>
      <c r="B5" s="74"/>
      <c r="Q5" s="66"/>
    </row>
    <row r="6" spans="1:17">
      <c r="A6" s="78"/>
      <c r="B6" s="74"/>
      <c r="Q6" s="66"/>
    </row>
    <row r="7" spans="1:17">
      <c r="A7" s="78"/>
      <c r="B7" s="74"/>
      <c r="Q7" s="66"/>
    </row>
    <row r="8" spans="1:17">
      <c r="A8" s="78"/>
      <c r="B8" s="74"/>
      <c r="Q8" s="66"/>
    </row>
    <row r="9" spans="1:17">
      <c r="A9" s="78"/>
      <c r="B9" s="74"/>
      <c r="Q9" s="66"/>
    </row>
    <row r="10" spans="1:17">
      <c r="A10" s="78"/>
      <c r="B10" s="74"/>
      <c r="Q10" s="66"/>
    </row>
    <row r="11" spans="1:17">
      <c r="A11" s="78"/>
      <c r="B11" s="74"/>
      <c r="Q11" s="66"/>
    </row>
    <row r="12" spans="1:17">
      <c r="A12" s="78"/>
      <c r="B12" s="74"/>
      <c r="Q12" s="66"/>
    </row>
    <row r="13" spans="1:17">
      <c r="A13" s="78"/>
      <c r="B13" s="74"/>
      <c r="Q13" s="66"/>
    </row>
    <row r="14" spans="1:17">
      <c r="A14" s="78"/>
      <c r="B14" s="74"/>
      <c r="Q14" s="66"/>
    </row>
    <row r="15" spans="1:17">
      <c r="A15" s="78"/>
      <c r="B15" s="74"/>
      <c r="Q15" s="66"/>
    </row>
    <row r="16" spans="1:17">
      <c r="A16" s="78"/>
      <c r="B16" s="74"/>
      <c r="Q16" s="66"/>
    </row>
    <row r="17" spans="1:17">
      <c r="A17" s="78"/>
      <c r="B17" s="74"/>
      <c r="Q17" s="66"/>
    </row>
    <row r="18" spans="1:17">
      <c r="A18" s="78"/>
      <c r="B18" s="74"/>
      <c r="Q18" s="66"/>
    </row>
    <row r="19" spans="1:17">
      <c r="A19" s="78"/>
      <c r="B19" s="74"/>
      <c r="Q19" s="66"/>
    </row>
    <row r="20" spans="1:17">
      <c r="A20" s="78"/>
      <c r="B20" s="74"/>
      <c r="Q20" s="66"/>
    </row>
    <row r="21" spans="1:17">
      <c r="A21" s="78"/>
      <c r="B21" s="74"/>
      <c r="Q21" s="66"/>
    </row>
    <row r="22" spans="1:17">
      <c r="A22" s="78"/>
      <c r="B22" s="74"/>
      <c r="Q22" s="66"/>
    </row>
    <row r="23" spans="1:17">
      <c r="A23" s="78"/>
      <c r="B23" s="74"/>
      <c r="Q23" s="66"/>
    </row>
    <row r="24" spans="1:17">
      <c r="A24" s="78"/>
      <c r="B24" s="74"/>
      <c r="Q24" s="66"/>
    </row>
    <row r="25" spans="1:17">
      <c r="A25" s="78"/>
      <c r="B25" s="74"/>
      <c r="Q25" s="66"/>
    </row>
    <row r="26" spans="1:17">
      <c r="A26" s="78"/>
      <c r="B26" s="74"/>
      <c r="Q26" s="66"/>
    </row>
    <row r="27" spans="1:17">
      <c r="A27" s="78"/>
      <c r="B27" s="74"/>
      <c r="Q27" s="66"/>
    </row>
    <row r="28" spans="1:17">
      <c r="A28" s="78"/>
      <c r="B28" s="74"/>
      <c r="Q28" s="66"/>
    </row>
    <row r="29" spans="1:17">
      <c r="A29" s="78"/>
      <c r="B29" s="74"/>
      <c r="Q29" s="66"/>
    </row>
    <row r="30" spans="1:17">
      <c r="A30" s="78"/>
      <c r="B30" s="74"/>
      <c r="Q30" s="66"/>
    </row>
    <row r="31" spans="1:17">
      <c r="A31" s="78"/>
      <c r="B31" s="74"/>
      <c r="Q31" s="66"/>
    </row>
    <row r="32" spans="1:17">
      <c r="A32" s="78"/>
      <c r="B32" s="74"/>
      <c r="Q32" s="66"/>
    </row>
    <row r="33" spans="1:17">
      <c r="A33" s="78"/>
      <c r="B33" s="74"/>
      <c r="Q33" s="66"/>
    </row>
    <row r="34" spans="1:17">
      <c r="A34" s="78"/>
      <c r="B34" s="74"/>
      <c r="Q34" s="66"/>
    </row>
    <row r="35" spans="1:17">
      <c r="A35" s="78"/>
      <c r="B35" s="74"/>
      <c r="Q35" s="66"/>
    </row>
    <row r="36" spans="1:17">
      <c r="A36" s="78"/>
      <c r="B36" s="74"/>
      <c r="Q36" s="66"/>
    </row>
    <row r="37" spans="1:17">
      <c r="A37" s="78"/>
      <c r="B37" s="74"/>
      <c r="Q37" s="66"/>
    </row>
    <row r="38" spans="1:17">
      <c r="A38" s="78"/>
      <c r="B38" s="74"/>
      <c r="Q38" s="66"/>
    </row>
    <row r="39" spans="1:17">
      <c r="A39" s="78"/>
      <c r="B39" s="74"/>
      <c r="Q39" s="66"/>
    </row>
    <row r="40" spans="1:17">
      <c r="A40" s="78"/>
      <c r="B40" s="74"/>
      <c r="Q40" s="66"/>
    </row>
    <row r="41" spans="1:17">
      <c r="A41" s="78"/>
      <c r="B41" s="74"/>
      <c r="Q41" s="66"/>
    </row>
    <row r="42" spans="1:17">
      <c r="A42" s="78"/>
      <c r="B42" s="74"/>
      <c r="Q42" s="66"/>
    </row>
    <row r="43" spans="1:17">
      <c r="A43" s="78"/>
      <c r="B43" s="74"/>
      <c r="Q43" s="66"/>
    </row>
    <row r="44" spans="1:17">
      <c r="A44" s="78"/>
      <c r="B44" s="74"/>
      <c r="Q44" s="66"/>
    </row>
    <row r="45" spans="1:17">
      <c r="A45" s="78"/>
      <c r="B45" s="74"/>
      <c r="Q45" s="66"/>
    </row>
    <row r="46" spans="1:17">
      <c r="A46" s="78"/>
      <c r="B46" s="74"/>
      <c r="Q46" s="66"/>
    </row>
    <row r="47" spans="1:17">
      <c r="A47" s="78"/>
      <c r="B47" s="74"/>
      <c r="Q47" s="66"/>
    </row>
    <row r="48" spans="1:17">
      <c r="A48" s="78"/>
      <c r="B48" s="74"/>
      <c r="Q48" s="66"/>
    </row>
    <row r="49" spans="1:17">
      <c r="A49" s="78"/>
      <c r="B49" s="74"/>
      <c r="Q49" s="66"/>
    </row>
    <row r="50" spans="1:17">
      <c r="A50" s="78"/>
      <c r="B50" s="74"/>
      <c r="Q50" s="66"/>
    </row>
    <row r="51" spans="1:17">
      <c r="A51" s="78"/>
      <c r="B51" s="74"/>
      <c r="Q51" s="66"/>
    </row>
    <row r="52" spans="1:17">
      <c r="A52" s="78"/>
      <c r="B52" s="74"/>
      <c r="Q52" s="66"/>
    </row>
    <row r="53" spans="1:17">
      <c r="A53" s="78"/>
      <c r="B53" s="74"/>
      <c r="Q53" s="66"/>
    </row>
    <row r="54" spans="1:17">
      <c r="A54" s="78"/>
      <c r="B54" s="74"/>
      <c r="Q54" s="66"/>
    </row>
    <row r="55" spans="1:17">
      <c r="A55" s="78"/>
      <c r="B55" s="74"/>
      <c r="Q55" s="66"/>
    </row>
    <row r="56" spans="1:17">
      <c r="A56" s="78"/>
      <c r="B56" s="74"/>
      <c r="Q56" s="66"/>
    </row>
    <row r="57" spans="1:17">
      <c r="A57" s="78"/>
      <c r="B57" s="74"/>
      <c r="Q57" s="66"/>
    </row>
    <row r="58" spans="1:17">
      <c r="A58" s="78"/>
      <c r="B58" s="74"/>
      <c r="Q58" s="66"/>
    </row>
    <row r="59" spans="1:17">
      <c r="A59" s="78"/>
      <c r="B59" s="74"/>
      <c r="Q59" s="66"/>
    </row>
    <row r="60" spans="1:17">
      <c r="A60" s="78"/>
      <c r="B60" s="74"/>
      <c r="Q60" s="66"/>
    </row>
    <row r="61" spans="1:17">
      <c r="A61" s="78"/>
      <c r="B61" s="74"/>
      <c r="Q61" s="66"/>
    </row>
    <row r="62" spans="1:17">
      <c r="A62" s="78"/>
      <c r="B62" s="74"/>
      <c r="Q62" s="66"/>
    </row>
    <row r="63" spans="1:17">
      <c r="A63" s="78"/>
      <c r="B63" s="74"/>
      <c r="Q63" s="66"/>
    </row>
    <row r="64" spans="1:17">
      <c r="A64" s="78"/>
      <c r="B64" s="74"/>
      <c r="Q64" s="66"/>
    </row>
    <row r="65" spans="1:17">
      <c r="A65" s="78"/>
      <c r="B65" s="74"/>
      <c r="Q65" s="66"/>
    </row>
    <row r="66" spans="1:17">
      <c r="A66" s="78"/>
      <c r="B66" s="74"/>
      <c r="Q66" s="66"/>
    </row>
    <row r="67" spans="1:17">
      <c r="A67" s="78"/>
      <c r="B67" s="74"/>
      <c r="Q67" s="66"/>
    </row>
    <row r="68" spans="1:17">
      <c r="A68" s="78"/>
      <c r="B68" s="74"/>
      <c r="Q68" s="66"/>
    </row>
    <row r="69" spans="1:17">
      <c r="A69" s="78"/>
      <c r="B69" s="74"/>
      <c r="Q69" s="66"/>
    </row>
    <row r="70" spans="1:17">
      <c r="A70" s="78"/>
      <c r="B70" s="74"/>
      <c r="Q70" s="66"/>
    </row>
    <row r="71" spans="1:17">
      <c r="A71" s="78"/>
      <c r="B71" s="74"/>
      <c r="Q71" s="66"/>
    </row>
    <row r="72" spans="1:17">
      <c r="A72" s="78"/>
      <c r="B72" s="74"/>
      <c r="Q72" s="66"/>
    </row>
    <row r="73" spans="1:17">
      <c r="A73" s="78"/>
      <c r="B73" s="74"/>
      <c r="Q73" s="66"/>
    </row>
    <row r="74" spans="1:17">
      <c r="A74" s="78"/>
      <c r="B74" s="74"/>
      <c r="Q74" s="66"/>
    </row>
    <row r="75" spans="1:17">
      <c r="A75" s="78"/>
      <c r="B75" s="74"/>
      <c r="Q75" s="66"/>
    </row>
    <row r="76" spans="1:17">
      <c r="A76" s="78"/>
      <c r="B76" s="74"/>
      <c r="Q76" s="66"/>
    </row>
    <row r="77" spans="1:17">
      <c r="A77" s="78"/>
      <c r="B77" s="74"/>
      <c r="Q77" s="66"/>
    </row>
    <row r="78" spans="1:17">
      <c r="A78" s="78"/>
      <c r="B78" s="74"/>
      <c r="Q78" s="66"/>
    </row>
    <row r="79" spans="1:17">
      <c r="A79" s="78"/>
      <c r="B79" s="74"/>
      <c r="Q79" s="66"/>
    </row>
    <row r="80" spans="1:17">
      <c r="A80" s="78"/>
      <c r="B80" s="74"/>
      <c r="Q80" s="66"/>
    </row>
    <row r="81" spans="1:17">
      <c r="A81" s="78"/>
      <c r="B81" s="74"/>
      <c r="Q81" s="66"/>
    </row>
    <row r="82" spans="1:17">
      <c r="A82" s="78"/>
      <c r="B82" s="74"/>
      <c r="Q82" s="66"/>
    </row>
    <row r="83" spans="1:17">
      <c r="A83" s="78"/>
      <c r="B83" s="74"/>
      <c r="Q83" s="66"/>
    </row>
    <row r="84" spans="1:17">
      <c r="A84" s="81"/>
      <c r="B84" s="82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3"/>
    </row>
    <row r="85" spans="1:17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0"/>
      <c r="O85" s="80"/>
      <c r="P85" s="80"/>
      <c r="Q85" s="80"/>
    </row>
  </sheetData>
  <phoneticPr fontId="2" type="noConversion"/>
  <pageMargins left="0.75" right="0.75" top="1" bottom="1" header="0.5" footer="0.5"/>
  <pageSetup paperSize="9" orientation="portrait" horizontalDpi="300" verticalDpi="300"/>
  <headerFooter alignWithMargins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DE39"/>
  <sheetViews>
    <sheetView zoomScaleNormal="100" workbookViewId="0">
      <pane ySplit="1" topLeftCell="A2" activePane="bottomLeft" state="frozen"/>
      <selection pane="bottomLeft" activeCell="M16" sqref="M16"/>
    </sheetView>
  </sheetViews>
  <sheetFormatPr baseColWidth="10" defaultRowHeight="13"/>
  <cols>
    <col min="1" max="1" width="14.33203125" style="114" bestFit="1" customWidth="1"/>
    <col min="2" max="2" width="10.1640625" style="118" bestFit="1" customWidth="1"/>
    <col min="3" max="3" width="9" style="94" bestFit="1" customWidth="1"/>
    <col min="4" max="4" width="5.33203125" style="57" bestFit="1" customWidth="1"/>
    <col min="5" max="5" width="6" style="53" bestFit="1" customWidth="1"/>
    <col min="6" max="7" width="3.6640625" style="53" bestFit="1" customWidth="1"/>
    <col min="8" max="8" width="13.6640625" style="40" bestFit="1" customWidth="1"/>
    <col min="9" max="9" width="12" style="40" bestFit="1" customWidth="1"/>
    <col min="10" max="10" width="10.1640625" style="118" bestFit="1" customWidth="1"/>
    <col min="11" max="11" width="10.5" style="122" bestFit="1" customWidth="1"/>
    <col min="12" max="12" width="12" style="40" bestFit="1" customWidth="1"/>
    <col min="13" max="13" width="7.33203125" style="43" bestFit="1" customWidth="1"/>
    <col min="14" max="14" width="6.33203125" style="40" bestFit="1" customWidth="1"/>
    <col min="15" max="15" width="9.5" style="43" bestFit="1" customWidth="1"/>
    <col min="16" max="16" width="12" style="43" bestFit="1" customWidth="1"/>
    <col min="17" max="17" width="11" style="43" bestFit="1" customWidth="1"/>
    <col min="18" max="18" width="12" style="45" bestFit="1" customWidth="1"/>
    <col min="19" max="19" width="7.33203125" style="45" bestFit="1" customWidth="1"/>
    <col min="20" max="20" width="10.1640625" style="118" bestFit="1" customWidth="1"/>
    <col min="21" max="21" width="11.5" style="45" bestFit="1" customWidth="1"/>
    <col min="22" max="22" width="13" style="45" bestFit="1" customWidth="1"/>
    <col min="23" max="24" width="7.33203125" style="45" bestFit="1" customWidth="1"/>
    <col min="25" max="25" width="9.5" style="45" bestFit="1" customWidth="1"/>
    <col min="26" max="26" width="12" style="45" bestFit="1" customWidth="1"/>
    <col min="27" max="27" width="11" style="45" bestFit="1" customWidth="1"/>
    <col min="28" max="28" width="12" style="45" bestFit="1" customWidth="1"/>
    <col min="29" max="29" width="7.33203125" style="45" bestFit="1" customWidth="1"/>
    <col min="30" max="30" width="10.1640625" style="118" bestFit="1" customWidth="1"/>
    <col min="31" max="31" width="11.5" style="45" bestFit="1" customWidth="1"/>
    <col min="32" max="32" width="13" style="45" bestFit="1" customWidth="1"/>
    <col min="33" max="34" width="7.33203125" style="45" bestFit="1" customWidth="1"/>
    <col min="35" max="35" width="9.5" style="45" bestFit="1" customWidth="1"/>
    <col min="36" max="36" width="12" style="45" bestFit="1" customWidth="1"/>
    <col min="37" max="37" width="11" style="45" bestFit="1" customWidth="1"/>
    <col min="38" max="38" width="12" style="45" bestFit="1" customWidth="1"/>
    <col min="39" max="39" width="7.33203125" style="45" bestFit="1" customWidth="1"/>
    <col min="40" max="40" width="10.1640625" style="118" bestFit="1" customWidth="1"/>
    <col min="41" max="41" width="11.5" style="45" bestFit="1" customWidth="1"/>
    <col min="42" max="42" width="13" style="45" bestFit="1" customWidth="1"/>
    <col min="43" max="44" width="7.33203125" style="45" bestFit="1" customWidth="1"/>
    <col min="45" max="45" width="9.5" style="45" bestFit="1" customWidth="1"/>
    <col min="46" max="46" width="12" style="45" bestFit="1" customWidth="1"/>
    <col min="47" max="47" width="11" style="45" bestFit="1" customWidth="1"/>
    <col min="48" max="48" width="12" style="45" bestFit="1" customWidth="1"/>
    <col min="49" max="49" width="7.33203125" style="45" bestFit="1" customWidth="1"/>
    <col min="50" max="50" width="10.1640625" style="118" bestFit="1" customWidth="1"/>
    <col min="51" max="51" width="11.5" style="45" bestFit="1" customWidth="1"/>
    <col min="52" max="52" width="13" style="45" bestFit="1" customWidth="1"/>
    <col min="53" max="54" width="7.33203125" style="45" bestFit="1" customWidth="1"/>
    <col min="55" max="55" width="9.5" style="45" bestFit="1" customWidth="1"/>
    <col min="56" max="56" width="12" style="45" bestFit="1" customWidth="1"/>
    <col min="57" max="57" width="11" style="45" bestFit="1" customWidth="1"/>
    <col min="58" max="58" width="12" style="45" bestFit="1" customWidth="1"/>
    <col min="59" max="59" width="7.33203125" style="45" bestFit="1" customWidth="1"/>
    <col min="60" max="60" width="10.1640625" style="118" bestFit="1" customWidth="1"/>
    <col min="61" max="65" width="7.33203125" style="45" bestFit="1" customWidth="1"/>
    <col min="66" max="66" width="10.6640625" style="45" bestFit="1" customWidth="1"/>
    <col min="67" max="69" width="7.33203125" style="45" bestFit="1" customWidth="1"/>
    <col min="70" max="70" width="10.1640625" style="118" bestFit="1" customWidth="1"/>
    <col min="71" max="75" width="7.33203125" style="45" bestFit="1" customWidth="1"/>
    <col min="76" max="76" width="10.6640625" style="45" bestFit="1" customWidth="1"/>
    <col min="77" max="79" width="7.33203125" style="45" bestFit="1" customWidth="1"/>
    <col min="80" max="80" width="10.1640625" style="118" bestFit="1" customWidth="1"/>
    <col min="81" max="85" width="7.33203125" style="45" bestFit="1" customWidth="1"/>
    <col min="86" max="86" width="10.6640625" style="45" bestFit="1" customWidth="1"/>
    <col min="87" max="89" width="7.33203125" style="45" bestFit="1" customWidth="1"/>
    <col min="90" max="90" width="10.1640625" style="118" bestFit="1" customWidth="1"/>
    <col min="91" max="95" width="7.33203125" style="45" bestFit="1" customWidth="1"/>
    <col min="96" max="96" width="10.6640625" style="45" bestFit="1" customWidth="1"/>
    <col min="97" max="99" width="7.33203125" style="45" bestFit="1" customWidth="1"/>
    <col min="100" max="100" width="10.5" style="118" bestFit="1" customWidth="1"/>
    <col min="101" max="105" width="8.1640625" style="45" bestFit="1" customWidth="1"/>
    <col min="106" max="106" width="11.5" style="45" bestFit="1" customWidth="1"/>
    <col min="107" max="109" width="8.1640625" style="45" bestFit="1" customWidth="1"/>
    <col min="110" max="16384" width="10.83203125" style="45"/>
  </cols>
  <sheetData>
    <row r="1" spans="1:109" s="41" customFormat="1" ht="18">
      <c r="A1" s="111" t="s">
        <v>66</v>
      </c>
      <c r="B1" s="115" t="s">
        <v>171</v>
      </c>
      <c r="C1" s="93" t="s">
        <v>64</v>
      </c>
      <c r="D1" s="56" t="s">
        <v>72</v>
      </c>
      <c r="E1" s="52" t="s">
        <v>73</v>
      </c>
      <c r="F1" s="52" t="s">
        <v>74</v>
      </c>
      <c r="G1" s="52" t="s">
        <v>75</v>
      </c>
      <c r="H1" s="46" t="s">
        <v>20</v>
      </c>
      <c r="I1" s="89" t="s">
        <v>184</v>
      </c>
      <c r="J1" s="115" t="s">
        <v>174</v>
      </c>
      <c r="K1" s="46" t="s">
        <v>80</v>
      </c>
      <c r="L1" s="87" t="s">
        <v>81</v>
      </c>
      <c r="M1" s="88" t="s">
        <v>82</v>
      </c>
      <c r="N1" s="89" t="s">
        <v>83</v>
      </c>
      <c r="O1" s="88" t="s">
        <v>84</v>
      </c>
      <c r="P1" s="88" t="s">
        <v>85</v>
      </c>
      <c r="Q1" s="88" t="s">
        <v>86</v>
      </c>
      <c r="R1" s="63" t="s">
        <v>87</v>
      </c>
      <c r="S1" s="63" t="s">
        <v>88</v>
      </c>
      <c r="T1" s="115" t="s">
        <v>175</v>
      </c>
      <c r="U1" s="90" t="s">
        <v>89</v>
      </c>
      <c r="V1" s="90" t="s">
        <v>90</v>
      </c>
      <c r="W1" s="90" t="s">
        <v>107</v>
      </c>
      <c r="X1" s="90" t="s">
        <v>108</v>
      </c>
      <c r="Y1" s="90" t="s">
        <v>109</v>
      </c>
      <c r="Z1" s="90" t="s">
        <v>110</v>
      </c>
      <c r="AA1" s="90" t="s">
        <v>111</v>
      </c>
      <c r="AB1" s="90" t="s">
        <v>112</v>
      </c>
      <c r="AC1" s="90" t="s">
        <v>113</v>
      </c>
      <c r="AD1" s="115" t="s">
        <v>176</v>
      </c>
      <c r="AE1" s="90" t="s">
        <v>91</v>
      </c>
      <c r="AF1" s="90" t="s">
        <v>92</v>
      </c>
      <c r="AG1" s="90" t="s">
        <v>114</v>
      </c>
      <c r="AH1" s="90" t="s">
        <v>115</v>
      </c>
      <c r="AI1" s="90" t="s">
        <v>116</v>
      </c>
      <c r="AJ1" s="90" t="s">
        <v>117</v>
      </c>
      <c r="AK1" s="90" t="s">
        <v>118</v>
      </c>
      <c r="AL1" s="90" t="s">
        <v>119</v>
      </c>
      <c r="AM1" s="90" t="s">
        <v>120</v>
      </c>
      <c r="AN1" s="115" t="s">
        <v>177</v>
      </c>
      <c r="AO1" s="90" t="s">
        <v>93</v>
      </c>
      <c r="AP1" s="90" t="s">
        <v>94</v>
      </c>
      <c r="AQ1" s="90" t="s">
        <v>121</v>
      </c>
      <c r="AR1" s="90" t="s">
        <v>122</v>
      </c>
      <c r="AS1" s="90" t="s">
        <v>123</v>
      </c>
      <c r="AT1" s="90" t="s">
        <v>124</v>
      </c>
      <c r="AU1" s="90" t="s">
        <v>125</v>
      </c>
      <c r="AV1" s="90" t="s">
        <v>126</v>
      </c>
      <c r="AW1" s="90" t="s">
        <v>127</v>
      </c>
      <c r="AX1" s="115" t="s">
        <v>178</v>
      </c>
      <c r="AY1" s="90" t="s">
        <v>95</v>
      </c>
      <c r="AZ1" s="90" t="s">
        <v>96</v>
      </c>
      <c r="BA1" s="90" t="s">
        <v>128</v>
      </c>
      <c r="BB1" s="90" t="s">
        <v>129</v>
      </c>
      <c r="BC1" s="90" t="s">
        <v>130</v>
      </c>
      <c r="BD1" s="90" t="s">
        <v>131</v>
      </c>
      <c r="BE1" s="90" t="s">
        <v>132</v>
      </c>
      <c r="BF1" s="90" t="s">
        <v>133</v>
      </c>
      <c r="BG1" s="90" t="s">
        <v>134</v>
      </c>
      <c r="BH1" s="115" t="s">
        <v>179</v>
      </c>
      <c r="BI1" s="90" t="s">
        <v>97</v>
      </c>
      <c r="BJ1" s="90" t="s">
        <v>98</v>
      </c>
      <c r="BK1" s="90" t="s">
        <v>135</v>
      </c>
      <c r="BL1" s="90" t="s">
        <v>136</v>
      </c>
      <c r="BM1" s="90" t="s">
        <v>137</v>
      </c>
      <c r="BN1" s="90" t="s">
        <v>138</v>
      </c>
      <c r="BO1" s="90" t="s">
        <v>139</v>
      </c>
      <c r="BP1" s="90" t="s">
        <v>140</v>
      </c>
      <c r="BQ1" s="90" t="s">
        <v>141</v>
      </c>
      <c r="BR1" s="115" t="s">
        <v>180</v>
      </c>
      <c r="BS1" s="90" t="s">
        <v>99</v>
      </c>
      <c r="BT1" s="90" t="s">
        <v>100</v>
      </c>
      <c r="BU1" s="90" t="s">
        <v>142</v>
      </c>
      <c r="BV1" s="90" t="s">
        <v>143</v>
      </c>
      <c r="BW1" s="90" t="s">
        <v>144</v>
      </c>
      <c r="BX1" s="90" t="s">
        <v>145</v>
      </c>
      <c r="BY1" s="90" t="s">
        <v>146</v>
      </c>
      <c r="BZ1" s="90" t="s">
        <v>147</v>
      </c>
      <c r="CA1" s="90" t="s">
        <v>148</v>
      </c>
      <c r="CB1" s="115" t="s">
        <v>181</v>
      </c>
      <c r="CC1" s="90" t="s">
        <v>101</v>
      </c>
      <c r="CD1" s="90" t="s">
        <v>102</v>
      </c>
      <c r="CE1" s="90" t="s">
        <v>149</v>
      </c>
      <c r="CF1" s="90" t="s">
        <v>150</v>
      </c>
      <c r="CG1" s="90" t="s">
        <v>151</v>
      </c>
      <c r="CH1" s="90" t="s">
        <v>152</v>
      </c>
      <c r="CI1" s="90" t="s">
        <v>153</v>
      </c>
      <c r="CJ1" s="90" t="s">
        <v>154</v>
      </c>
      <c r="CK1" s="90" t="s">
        <v>155</v>
      </c>
      <c r="CL1" s="115" t="s">
        <v>182</v>
      </c>
      <c r="CM1" s="90" t="s">
        <v>103</v>
      </c>
      <c r="CN1" s="90" t="s">
        <v>104</v>
      </c>
      <c r="CO1" s="90" t="s">
        <v>156</v>
      </c>
      <c r="CP1" s="90" t="s">
        <v>157</v>
      </c>
      <c r="CQ1" s="90" t="s">
        <v>158</v>
      </c>
      <c r="CR1" s="90" t="s">
        <v>159</v>
      </c>
      <c r="CS1" s="90" t="s">
        <v>160</v>
      </c>
      <c r="CT1" s="90" t="s">
        <v>161</v>
      </c>
      <c r="CU1" s="90" t="s">
        <v>162</v>
      </c>
      <c r="CV1" s="115" t="s">
        <v>183</v>
      </c>
      <c r="CW1" s="90" t="s">
        <v>105</v>
      </c>
      <c r="CX1" s="90" t="s">
        <v>106</v>
      </c>
      <c r="CY1" s="90" t="s">
        <v>163</v>
      </c>
      <c r="CZ1" s="90" t="s">
        <v>164</v>
      </c>
      <c r="DA1" s="90" t="s">
        <v>165</v>
      </c>
      <c r="DB1" s="90" t="s">
        <v>166</v>
      </c>
      <c r="DC1" s="90" t="s">
        <v>167</v>
      </c>
      <c r="DD1" s="90" t="s">
        <v>168</v>
      </c>
      <c r="DE1" s="90" t="s">
        <v>169</v>
      </c>
    </row>
    <row r="2" spans="1:109">
      <c r="A2" s="112"/>
      <c r="B2" s="116"/>
      <c r="D2" s="58"/>
      <c r="E2" s="54"/>
      <c r="F2" s="54"/>
      <c r="G2" s="54"/>
      <c r="H2" s="42"/>
      <c r="I2" s="42"/>
      <c r="J2" s="116"/>
      <c r="K2" s="120"/>
      <c r="L2" s="42"/>
      <c r="M2" s="44"/>
      <c r="N2" s="42"/>
      <c r="O2" s="44"/>
      <c r="P2" s="44"/>
      <c r="Q2" s="44"/>
      <c r="R2" s="44"/>
      <c r="S2" s="44"/>
      <c r="T2" s="116"/>
      <c r="U2" s="44"/>
      <c r="V2" s="44"/>
      <c r="W2" s="44"/>
      <c r="X2" s="44"/>
      <c r="Y2" s="44"/>
      <c r="Z2" s="44"/>
      <c r="AA2" s="44"/>
      <c r="AB2" s="44"/>
      <c r="AC2" s="44"/>
      <c r="AD2" s="116"/>
      <c r="AE2" s="44"/>
      <c r="AF2" s="44"/>
      <c r="AG2" s="44"/>
      <c r="AH2" s="44"/>
      <c r="AI2" s="44"/>
      <c r="AJ2" s="44"/>
      <c r="AK2" s="44"/>
      <c r="AL2" s="44"/>
      <c r="AM2" s="44"/>
      <c r="AN2" s="116"/>
      <c r="AO2" s="44"/>
      <c r="AP2" s="44"/>
      <c r="AQ2" s="44"/>
      <c r="AR2" s="44"/>
      <c r="AS2" s="44"/>
      <c r="AT2" s="44"/>
      <c r="AU2" s="44"/>
      <c r="AV2" s="44"/>
      <c r="AW2" s="44"/>
      <c r="AX2" s="116"/>
      <c r="AY2" s="44"/>
      <c r="AZ2" s="44"/>
      <c r="BA2" s="44"/>
      <c r="BB2" s="44"/>
      <c r="BC2" s="44"/>
      <c r="BD2" s="44"/>
      <c r="BE2" s="44"/>
      <c r="BF2" s="44"/>
      <c r="BG2" s="44"/>
      <c r="BH2" s="116"/>
      <c r="BI2" s="44"/>
      <c r="BJ2" s="44"/>
      <c r="BK2" s="44"/>
      <c r="BL2" s="44"/>
      <c r="BM2" s="44"/>
      <c r="BN2" s="44"/>
      <c r="BO2" s="44"/>
      <c r="BP2" s="44"/>
      <c r="BQ2" s="44"/>
      <c r="BR2" s="116"/>
      <c r="BS2" s="44"/>
      <c r="BT2" s="44"/>
      <c r="BU2" s="44"/>
      <c r="BV2" s="44"/>
      <c r="BW2" s="44"/>
      <c r="BX2" s="44"/>
      <c r="BY2" s="44"/>
      <c r="BZ2" s="44"/>
      <c r="CA2" s="44"/>
      <c r="CB2" s="116"/>
      <c r="CC2" s="44"/>
      <c r="CD2" s="44"/>
      <c r="CE2" s="44"/>
      <c r="CF2" s="44"/>
      <c r="CG2" s="44"/>
      <c r="CH2" s="44"/>
      <c r="CI2" s="44"/>
      <c r="CJ2" s="44"/>
      <c r="CK2" s="44"/>
      <c r="CL2" s="116"/>
      <c r="CM2" s="44"/>
      <c r="CN2" s="44"/>
      <c r="CO2" s="44"/>
      <c r="CP2" s="44"/>
      <c r="CQ2" s="44"/>
      <c r="CR2" s="44"/>
      <c r="CS2" s="44"/>
      <c r="CT2" s="44"/>
      <c r="CU2" s="44"/>
      <c r="CV2" s="116"/>
      <c r="CW2" s="44"/>
      <c r="CX2" s="44"/>
      <c r="CY2" s="44"/>
      <c r="CZ2" s="44"/>
      <c r="DA2" s="44"/>
      <c r="DB2" s="44"/>
      <c r="DC2" s="44"/>
      <c r="DD2" s="44"/>
      <c r="DE2" s="44"/>
    </row>
    <row r="3" spans="1:109">
      <c r="A3" s="112"/>
      <c r="B3" s="116"/>
      <c r="D3" s="58"/>
      <c r="E3" s="54"/>
      <c r="F3" s="54"/>
      <c r="G3" s="54"/>
      <c r="H3" s="42"/>
      <c r="I3" s="42"/>
      <c r="J3" s="116"/>
      <c r="K3" s="120"/>
      <c r="L3" s="42"/>
      <c r="M3" s="44"/>
      <c r="N3" s="42"/>
      <c r="O3" s="44"/>
      <c r="P3" s="44"/>
      <c r="Q3" s="44"/>
      <c r="R3" s="44"/>
      <c r="S3" s="44"/>
      <c r="T3" s="116"/>
      <c r="U3" s="44"/>
      <c r="V3" s="44"/>
      <c r="W3" s="44"/>
      <c r="X3" s="44"/>
      <c r="Y3" s="44"/>
      <c r="Z3" s="44"/>
      <c r="AA3" s="44"/>
      <c r="AB3" s="44"/>
      <c r="AC3" s="44"/>
      <c r="AD3" s="116"/>
      <c r="AE3" s="44"/>
      <c r="AF3" s="44"/>
      <c r="AG3" s="44"/>
      <c r="AH3" s="44"/>
      <c r="AI3" s="44"/>
      <c r="AJ3" s="44"/>
      <c r="AK3" s="44"/>
      <c r="AL3" s="44"/>
      <c r="AM3" s="44"/>
      <c r="AN3" s="116"/>
      <c r="AO3" s="44"/>
      <c r="AP3" s="44"/>
      <c r="AQ3" s="44"/>
      <c r="AR3" s="44"/>
      <c r="AS3" s="44"/>
      <c r="AT3" s="44"/>
      <c r="AU3" s="44"/>
      <c r="AV3" s="44"/>
      <c r="AW3" s="44"/>
      <c r="AX3" s="116"/>
      <c r="AY3" s="44"/>
      <c r="AZ3" s="44"/>
      <c r="BA3" s="44"/>
      <c r="BB3" s="44"/>
      <c r="BC3" s="44"/>
      <c r="BD3" s="44"/>
      <c r="BE3" s="44"/>
      <c r="BF3" s="44"/>
      <c r="BG3" s="44"/>
      <c r="BH3" s="116"/>
      <c r="BI3" s="44"/>
      <c r="BJ3" s="44"/>
      <c r="BK3" s="44"/>
      <c r="BL3" s="44"/>
      <c r="BM3" s="44"/>
      <c r="BN3" s="44"/>
      <c r="BO3" s="44"/>
      <c r="BP3" s="44"/>
      <c r="BQ3" s="44"/>
      <c r="BR3" s="116"/>
      <c r="BS3" s="44"/>
      <c r="BT3" s="44"/>
      <c r="BU3" s="44"/>
      <c r="BV3" s="44"/>
      <c r="BW3" s="44"/>
      <c r="BX3" s="44"/>
      <c r="BY3" s="44"/>
      <c r="BZ3" s="44"/>
      <c r="CA3" s="44"/>
      <c r="CB3" s="116"/>
      <c r="CC3" s="44"/>
      <c r="CD3" s="44"/>
      <c r="CE3" s="44"/>
      <c r="CF3" s="44"/>
      <c r="CG3" s="44"/>
      <c r="CH3" s="44"/>
      <c r="CI3" s="44"/>
      <c r="CJ3" s="44"/>
      <c r="CK3" s="44"/>
      <c r="CL3" s="116"/>
      <c r="CM3" s="44"/>
      <c r="CN3" s="44"/>
      <c r="CO3" s="44"/>
      <c r="CP3" s="44"/>
      <c r="CQ3" s="44"/>
      <c r="CR3" s="44"/>
      <c r="CS3" s="44"/>
      <c r="CT3" s="44"/>
      <c r="CU3" s="44"/>
      <c r="CV3" s="116"/>
      <c r="CW3" s="44"/>
      <c r="CX3" s="44"/>
      <c r="CY3" s="44"/>
      <c r="CZ3" s="44"/>
      <c r="DA3" s="44"/>
      <c r="DB3" s="44"/>
      <c r="DC3" s="44"/>
      <c r="DD3" s="44"/>
      <c r="DE3" s="44"/>
    </row>
    <row r="4" spans="1:109">
      <c r="A4" s="112"/>
      <c r="B4" s="116"/>
      <c r="D4" s="58"/>
      <c r="E4" s="54"/>
      <c r="F4" s="54"/>
      <c r="G4" s="54"/>
      <c r="H4" s="42"/>
      <c r="I4" s="42"/>
      <c r="J4" s="116"/>
      <c r="K4" s="120"/>
      <c r="L4" s="42"/>
      <c r="M4" s="44"/>
      <c r="N4" s="42"/>
      <c r="O4" s="44"/>
      <c r="P4" s="44"/>
      <c r="Q4" s="44"/>
      <c r="R4" s="44"/>
      <c r="S4" s="44"/>
      <c r="T4" s="116"/>
      <c r="U4" s="44"/>
      <c r="V4" s="44"/>
      <c r="W4" s="44"/>
      <c r="X4" s="44"/>
      <c r="Y4" s="44"/>
      <c r="Z4" s="44"/>
      <c r="AA4" s="44"/>
      <c r="AB4" s="44"/>
      <c r="AC4" s="44"/>
      <c r="AD4" s="116"/>
      <c r="AE4" s="44"/>
      <c r="AF4" s="44"/>
      <c r="AG4" s="44"/>
      <c r="AH4" s="44"/>
      <c r="AI4" s="44"/>
      <c r="AJ4" s="44"/>
      <c r="AK4" s="44"/>
      <c r="AL4" s="44"/>
      <c r="AM4" s="44"/>
      <c r="AN4" s="116"/>
      <c r="AO4" s="44"/>
      <c r="AP4" s="44"/>
      <c r="AQ4" s="44"/>
      <c r="AR4" s="44"/>
      <c r="AS4" s="44"/>
      <c r="AT4" s="44"/>
      <c r="AU4" s="44"/>
      <c r="AV4" s="44"/>
      <c r="AW4" s="44"/>
      <c r="AX4" s="116"/>
      <c r="AY4" s="44"/>
      <c r="AZ4" s="44"/>
      <c r="BA4" s="44"/>
      <c r="BB4" s="44"/>
      <c r="BC4" s="44"/>
      <c r="BD4" s="44"/>
      <c r="BE4" s="44"/>
      <c r="BF4" s="44"/>
      <c r="BG4" s="44"/>
      <c r="BH4" s="116"/>
      <c r="BI4" s="44"/>
      <c r="BJ4" s="44"/>
      <c r="BK4" s="44"/>
      <c r="BL4" s="44"/>
      <c r="BM4" s="44"/>
      <c r="BN4" s="44"/>
      <c r="BO4" s="44"/>
      <c r="BP4" s="44"/>
      <c r="BQ4" s="44"/>
      <c r="BR4" s="116"/>
      <c r="BS4" s="44"/>
      <c r="BT4" s="44"/>
      <c r="BU4" s="44"/>
      <c r="BV4" s="44"/>
      <c r="BW4" s="44"/>
      <c r="BX4" s="44"/>
      <c r="BY4" s="44"/>
      <c r="BZ4" s="44"/>
      <c r="CA4" s="44"/>
      <c r="CB4" s="116"/>
      <c r="CC4" s="44"/>
      <c r="CD4" s="44"/>
      <c r="CE4" s="44"/>
      <c r="CF4" s="44"/>
      <c r="CG4" s="44"/>
      <c r="CH4" s="44"/>
      <c r="CI4" s="44"/>
      <c r="CJ4" s="44"/>
      <c r="CK4" s="44"/>
      <c r="CL4" s="116"/>
      <c r="CM4" s="44"/>
      <c r="CN4" s="44"/>
      <c r="CO4" s="44"/>
      <c r="CP4" s="44"/>
      <c r="CQ4" s="44"/>
      <c r="CR4" s="44"/>
      <c r="CS4" s="44"/>
      <c r="CT4" s="44"/>
      <c r="CU4" s="44"/>
      <c r="CV4" s="116"/>
      <c r="CW4" s="44"/>
      <c r="CX4" s="44"/>
      <c r="CY4" s="44"/>
      <c r="CZ4" s="44"/>
      <c r="DA4" s="44"/>
      <c r="DB4" s="44"/>
      <c r="DC4" s="44"/>
      <c r="DD4" s="44"/>
      <c r="DE4" s="44"/>
    </row>
    <row r="5" spans="1:109">
      <c r="A5" s="112"/>
      <c r="B5" s="116"/>
      <c r="D5" s="58"/>
      <c r="E5" s="54"/>
      <c r="F5" s="54"/>
      <c r="G5" s="54"/>
      <c r="H5" s="42"/>
      <c r="I5" s="42"/>
      <c r="J5" s="116"/>
      <c r="K5" s="120"/>
      <c r="L5" s="42"/>
      <c r="M5" s="44"/>
      <c r="N5" s="42"/>
      <c r="O5" s="44"/>
      <c r="P5" s="44"/>
      <c r="Q5" s="44"/>
      <c r="R5" s="44"/>
      <c r="S5" s="44"/>
      <c r="T5" s="116"/>
      <c r="U5" s="44"/>
      <c r="V5" s="44"/>
      <c r="W5" s="44"/>
      <c r="X5" s="44"/>
      <c r="Y5" s="44"/>
      <c r="Z5" s="44"/>
      <c r="AA5" s="44"/>
      <c r="AB5" s="44"/>
      <c r="AC5" s="44"/>
      <c r="AD5" s="116"/>
      <c r="AE5" s="44"/>
      <c r="AF5" s="44"/>
      <c r="AG5" s="44"/>
      <c r="AH5" s="44"/>
      <c r="AI5" s="44"/>
      <c r="AJ5" s="44"/>
      <c r="AK5" s="44"/>
      <c r="AL5" s="44"/>
      <c r="AM5" s="44"/>
      <c r="AN5" s="116"/>
      <c r="AO5" s="44"/>
      <c r="AP5" s="44"/>
      <c r="AQ5" s="44"/>
      <c r="AR5" s="44"/>
      <c r="AS5" s="44"/>
      <c r="AT5" s="44"/>
      <c r="AU5" s="44"/>
      <c r="AV5" s="44"/>
      <c r="AW5" s="44"/>
      <c r="AX5" s="116"/>
      <c r="AY5" s="44"/>
      <c r="AZ5" s="44"/>
      <c r="BA5" s="44"/>
      <c r="BB5" s="44"/>
      <c r="BC5" s="44"/>
      <c r="BD5" s="44"/>
      <c r="BE5" s="44"/>
      <c r="BF5" s="44"/>
      <c r="BG5" s="44"/>
      <c r="BH5" s="116"/>
      <c r="BI5" s="44"/>
      <c r="BJ5" s="44"/>
      <c r="BK5" s="44"/>
      <c r="BL5" s="44"/>
      <c r="BM5" s="44"/>
      <c r="BN5" s="44"/>
      <c r="BO5" s="44"/>
      <c r="BP5" s="44"/>
      <c r="BQ5" s="44"/>
      <c r="BR5" s="116"/>
      <c r="BS5" s="44"/>
      <c r="BT5" s="44"/>
      <c r="BU5" s="44"/>
      <c r="BV5" s="44"/>
      <c r="BW5" s="44"/>
      <c r="BX5" s="44"/>
      <c r="BY5" s="44"/>
      <c r="BZ5" s="44"/>
      <c r="CA5" s="44"/>
      <c r="CB5" s="116"/>
      <c r="CC5" s="44"/>
      <c r="CD5" s="44"/>
      <c r="CE5" s="44"/>
      <c r="CF5" s="44"/>
      <c r="CG5" s="44"/>
      <c r="CH5" s="44"/>
      <c r="CI5" s="44"/>
      <c r="CJ5" s="44"/>
      <c r="CK5" s="44"/>
      <c r="CL5" s="116"/>
      <c r="CM5" s="44"/>
      <c r="CN5" s="44"/>
      <c r="CO5" s="44"/>
      <c r="CP5" s="44"/>
      <c r="CQ5" s="44"/>
      <c r="CR5" s="44"/>
      <c r="CS5" s="44"/>
      <c r="CT5" s="44"/>
      <c r="CU5" s="44"/>
      <c r="CV5" s="116"/>
      <c r="CW5" s="44"/>
      <c r="CX5" s="44"/>
      <c r="CY5" s="44"/>
      <c r="CZ5" s="44"/>
      <c r="DA5" s="44"/>
      <c r="DB5" s="44"/>
      <c r="DC5" s="44"/>
      <c r="DD5" s="44"/>
      <c r="DE5" s="44"/>
    </row>
    <row r="6" spans="1:109">
      <c r="A6" s="112"/>
      <c r="B6" s="116"/>
      <c r="C6" s="112"/>
      <c r="D6" s="116"/>
      <c r="E6" s="112"/>
      <c r="F6" s="116"/>
      <c r="G6" s="112"/>
      <c r="H6" s="116"/>
      <c r="I6" s="112"/>
      <c r="J6" s="116"/>
      <c r="K6" s="112"/>
      <c r="L6" s="116"/>
      <c r="M6" s="112"/>
      <c r="N6" s="116"/>
      <c r="O6" s="112"/>
      <c r="P6" s="116"/>
      <c r="Q6" s="112"/>
      <c r="R6" s="116"/>
      <c r="S6" s="44"/>
      <c r="T6" s="116"/>
      <c r="U6" s="44"/>
      <c r="V6" s="44"/>
      <c r="W6" s="44"/>
      <c r="X6" s="44"/>
      <c r="Y6" s="44"/>
      <c r="Z6" s="44"/>
      <c r="AA6" s="44"/>
      <c r="AB6" s="44"/>
      <c r="AC6" s="44"/>
      <c r="AD6" s="116"/>
      <c r="AE6" s="44"/>
      <c r="AF6" s="44"/>
      <c r="AG6" s="44"/>
      <c r="AH6" s="44"/>
      <c r="AI6" s="44"/>
      <c r="AJ6" s="44"/>
      <c r="AK6" s="44"/>
      <c r="AL6" s="44"/>
      <c r="AM6" s="44"/>
      <c r="AN6" s="116"/>
      <c r="AO6" s="44"/>
      <c r="AP6" s="44"/>
      <c r="AQ6" s="44"/>
      <c r="AR6" s="44"/>
      <c r="AS6" s="44"/>
      <c r="AT6" s="44"/>
      <c r="AU6" s="44"/>
      <c r="AV6" s="44"/>
      <c r="AW6" s="44"/>
      <c r="AX6" s="116"/>
      <c r="AY6" s="44"/>
      <c r="AZ6" s="44"/>
      <c r="BA6" s="44"/>
      <c r="BB6" s="44"/>
      <c r="BC6" s="44"/>
      <c r="BD6" s="44"/>
      <c r="BE6" s="44"/>
      <c r="BF6" s="44"/>
      <c r="BG6" s="44"/>
      <c r="BH6" s="116"/>
      <c r="BI6" s="44"/>
      <c r="BJ6" s="44"/>
      <c r="BK6" s="44"/>
      <c r="BL6" s="44"/>
      <c r="BM6" s="44"/>
      <c r="BN6" s="44"/>
      <c r="BO6" s="44"/>
      <c r="BP6" s="44"/>
      <c r="BQ6" s="44"/>
      <c r="BR6" s="116"/>
      <c r="BS6" s="44"/>
      <c r="BT6" s="44"/>
      <c r="BU6" s="44"/>
      <c r="BV6" s="44"/>
      <c r="BW6" s="44"/>
      <c r="BX6" s="44"/>
      <c r="BY6" s="44"/>
      <c r="BZ6" s="44"/>
      <c r="CA6" s="44"/>
      <c r="CB6" s="116"/>
      <c r="CC6" s="44"/>
      <c r="CD6" s="44"/>
      <c r="CE6" s="44"/>
      <c r="CF6" s="44"/>
      <c r="CG6" s="44"/>
      <c r="CH6" s="44"/>
      <c r="CI6" s="44"/>
      <c r="CJ6" s="44"/>
      <c r="CK6" s="44"/>
      <c r="CL6" s="116"/>
      <c r="CM6" s="44"/>
      <c r="CN6" s="44"/>
      <c r="CO6" s="44"/>
      <c r="CP6" s="44"/>
      <c r="CQ6" s="44"/>
      <c r="CR6" s="44"/>
      <c r="CS6" s="44"/>
      <c r="CT6" s="44"/>
      <c r="CU6" s="44"/>
      <c r="CV6" s="116"/>
      <c r="CW6" s="44"/>
      <c r="CX6" s="44"/>
      <c r="CY6" s="44"/>
      <c r="CZ6" s="44"/>
      <c r="DA6" s="44"/>
      <c r="DB6" s="44"/>
      <c r="DC6" s="44"/>
      <c r="DD6" s="44"/>
      <c r="DE6" s="44"/>
    </row>
    <row r="7" spans="1:109">
      <c r="A7" s="112"/>
      <c r="B7" s="116"/>
      <c r="D7" s="58"/>
      <c r="E7" s="54"/>
      <c r="F7" s="54"/>
      <c r="G7" s="54"/>
      <c r="H7" s="42"/>
      <c r="I7" s="42"/>
      <c r="J7" s="116"/>
      <c r="K7" s="120"/>
      <c r="L7" s="42"/>
      <c r="M7" s="44"/>
      <c r="N7" s="42"/>
      <c r="O7" s="44"/>
      <c r="P7" s="44"/>
      <c r="Q7" s="44"/>
      <c r="R7" s="44"/>
      <c r="S7" s="44"/>
      <c r="T7" s="116"/>
      <c r="U7" s="44"/>
      <c r="V7" s="44"/>
      <c r="W7" s="44"/>
      <c r="X7" s="44"/>
      <c r="Y7" s="44"/>
      <c r="Z7" s="44"/>
      <c r="AA7" s="44"/>
      <c r="AB7" s="44"/>
      <c r="AC7" s="44"/>
      <c r="AD7" s="116"/>
      <c r="AE7" s="44"/>
      <c r="AF7" s="44"/>
      <c r="AG7" s="44"/>
      <c r="AH7" s="44"/>
      <c r="AI7" s="44"/>
      <c r="AJ7" s="44"/>
      <c r="AK7" s="44"/>
      <c r="AL7" s="44"/>
      <c r="AM7" s="44"/>
      <c r="AN7" s="116"/>
      <c r="AO7" s="44"/>
      <c r="AP7" s="44"/>
      <c r="AQ7" s="44"/>
      <c r="AR7" s="44"/>
      <c r="AS7" s="44"/>
      <c r="AT7" s="44"/>
      <c r="AU7" s="44"/>
      <c r="AV7" s="44"/>
      <c r="AW7" s="44"/>
      <c r="AX7" s="116"/>
      <c r="AY7" s="44"/>
      <c r="AZ7" s="44"/>
      <c r="BA7" s="44"/>
      <c r="BB7" s="44"/>
      <c r="BC7" s="44"/>
      <c r="BD7" s="44"/>
      <c r="BE7" s="44"/>
      <c r="BF7" s="44"/>
      <c r="BG7" s="44"/>
      <c r="BH7" s="116"/>
      <c r="BI7" s="44"/>
      <c r="BJ7" s="44"/>
      <c r="BK7" s="44"/>
      <c r="BL7" s="44"/>
      <c r="BM7" s="44"/>
      <c r="BN7" s="44"/>
      <c r="BO7" s="44"/>
      <c r="BP7" s="44"/>
      <c r="BQ7" s="44"/>
      <c r="BR7" s="116"/>
      <c r="BS7" s="44"/>
      <c r="BT7" s="44"/>
      <c r="BU7" s="44"/>
      <c r="BV7" s="44"/>
      <c r="BW7" s="44"/>
      <c r="BX7" s="44"/>
      <c r="BY7" s="44"/>
      <c r="BZ7" s="44"/>
      <c r="CA7" s="44"/>
      <c r="CB7" s="116"/>
      <c r="CC7" s="44"/>
      <c r="CD7" s="44"/>
      <c r="CE7" s="44"/>
      <c r="CF7" s="44"/>
      <c r="CG7" s="44"/>
      <c r="CH7" s="44"/>
      <c r="CI7" s="44"/>
      <c r="CJ7" s="44"/>
      <c r="CK7" s="44"/>
      <c r="CL7" s="116"/>
      <c r="CM7" s="44"/>
      <c r="CN7" s="44"/>
      <c r="CO7" s="44"/>
      <c r="CP7" s="44"/>
      <c r="CQ7" s="44"/>
      <c r="CR7" s="44"/>
      <c r="CS7" s="44"/>
      <c r="CT7" s="44"/>
      <c r="CU7" s="44"/>
      <c r="CV7" s="116"/>
      <c r="CW7" s="44"/>
      <c r="CX7" s="44"/>
      <c r="CY7" s="44"/>
      <c r="CZ7" s="44"/>
      <c r="DA7" s="44"/>
      <c r="DB7" s="44"/>
      <c r="DC7" s="44"/>
      <c r="DD7" s="44"/>
      <c r="DE7" s="44"/>
    </row>
    <row r="8" spans="1:109">
      <c r="A8" s="112"/>
      <c r="B8" s="116"/>
      <c r="D8" s="58"/>
      <c r="E8" s="54"/>
      <c r="F8" s="54"/>
      <c r="G8" s="54"/>
      <c r="H8" s="42"/>
      <c r="I8" s="42"/>
      <c r="J8" s="116"/>
      <c r="K8" s="120"/>
      <c r="L8" s="42"/>
      <c r="M8" s="44"/>
      <c r="N8" s="42"/>
      <c r="O8" s="44"/>
      <c r="P8" s="44"/>
      <c r="Q8" s="44"/>
      <c r="R8" s="44"/>
      <c r="S8" s="44"/>
      <c r="T8" s="116"/>
      <c r="U8" s="44"/>
      <c r="V8" s="44"/>
      <c r="W8" s="44"/>
      <c r="X8" s="44"/>
      <c r="Y8" s="44"/>
      <c r="Z8" s="44"/>
      <c r="AA8" s="44"/>
      <c r="AB8" s="44"/>
      <c r="AC8" s="44"/>
      <c r="AD8" s="116"/>
      <c r="AE8" s="44"/>
      <c r="AF8" s="44"/>
      <c r="AG8" s="44"/>
      <c r="AH8" s="44"/>
      <c r="AI8" s="44"/>
      <c r="AJ8" s="44"/>
      <c r="AK8" s="44"/>
      <c r="AL8" s="44"/>
      <c r="AM8" s="44"/>
      <c r="AN8" s="116"/>
      <c r="AO8" s="44"/>
      <c r="AP8" s="44"/>
      <c r="AQ8" s="44"/>
      <c r="AR8" s="44"/>
      <c r="AS8" s="44"/>
      <c r="AT8" s="44"/>
      <c r="AU8" s="44"/>
      <c r="AV8" s="44"/>
      <c r="AW8" s="44"/>
      <c r="AX8" s="116"/>
      <c r="AY8" s="44"/>
      <c r="AZ8" s="44"/>
      <c r="BA8" s="44"/>
      <c r="BB8" s="44"/>
      <c r="BC8" s="44"/>
      <c r="BD8" s="44"/>
      <c r="BE8" s="44"/>
      <c r="BF8" s="44"/>
      <c r="BG8" s="44"/>
      <c r="BH8" s="116"/>
      <c r="BI8" s="44"/>
      <c r="BJ8" s="44"/>
      <c r="BK8" s="44"/>
      <c r="BL8" s="44"/>
      <c r="BM8" s="44"/>
      <c r="BN8" s="44"/>
      <c r="BO8" s="44"/>
      <c r="BP8" s="44"/>
      <c r="BQ8" s="44"/>
      <c r="BR8" s="116"/>
      <c r="BS8" s="44"/>
      <c r="BT8" s="44"/>
      <c r="BU8" s="44"/>
      <c r="BV8" s="44"/>
      <c r="BW8" s="44"/>
      <c r="BX8" s="44"/>
      <c r="BY8" s="44"/>
      <c r="BZ8" s="44"/>
      <c r="CA8" s="44"/>
      <c r="CB8" s="116"/>
      <c r="CC8" s="44"/>
      <c r="CD8" s="44"/>
      <c r="CE8" s="44"/>
      <c r="CF8" s="44"/>
      <c r="CG8" s="44"/>
      <c r="CH8" s="44"/>
      <c r="CI8" s="44"/>
      <c r="CJ8" s="44"/>
      <c r="CK8" s="44"/>
      <c r="CL8" s="116"/>
      <c r="CM8" s="44"/>
      <c r="CN8" s="44"/>
      <c r="CO8" s="44"/>
      <c r="CP8" s="44"/>
      <c r="CQ8" s="44"/>
      <c r="CR8" s="44"/>
      <c r="CS8" s="44"/>
      <c r="CT8" s="44"/>
      <c r="CU8" s="44"/>
      <c r="CV8" s="116"/>
      <c r="CW8" s="44"/>
      <c r="CX8" s="44"/>
      <c r="CY8" s="44"/>
      <c r="CZ8" s="44"/>
      <c r="DA8" s="44"/>
      <c r="DB8" s="44"/>
      <c r="DC8" s="44"/>
      <c r="DD8" s="44"/>
      <c r="DE8" s="44"/>
    </row>
    <row r="9" spans="1:109">
      <c r="A9" s="112"/>
      <c r="B9" s="116"/>
      <c r="D9" s="58"/>
      <c r="E9" s="54"/>
      <c r="F9" s="54"/>
      <c r="G9" s="54"/>
      <c r="H9" s="42"/>
      <c r="I9" s="42"/>
      <c r="J9" s="116"/>
      <c r="K9" s="120"/>
      <c r="L9" s="42"/>
      <c r="M9" s="44"/>
      <c r="N9" s="42"/>
      <c r="O9" s="44"/>
      <c r="P9" s="44"/>
      <c r="Q9" s="44"/>
      <c r="R9" s="44"/>
      <c r="S9" s="44"/>
      <c r="T9" s="116"/>
      <c r="U9" s="44"/>
      <c r="V9" s="44"/>
      <c r="W9" s="44"/>
      <c r="X9" s="44"/>
      <c r="Y9" s="44"/>
      <c r="Z9" s="44"/>
      <c r="AA9" s="44"/>
      <c r="AB9" s="44"/>
      <c r="AC9" s="44"/>
      <c r="AD9" s="116"/>
      <c r="AE9" s="44"/>
      <c r="AF9" s="44"/>
      <c r="AG9" s="44"/>
      <c r="AH9" s="44"/>
      <c r="AI9" s="44"/>
      <c r="AJ9" s="44"/>
      <c r="AK9" s="44"/>
      <c r="AL9" s="44"/>
      <c r="AM9" s="44"/>
      <c r="AN9" s="116"/>
      <c r="AO9" s="44"/>
      <c r="AP9" s="44"/>
      <c r="AQ9" s="44"/>
      <c r="AR9" s="44"/>
      <c r="AS9" s="44"/>
      <c r="AT9" s="44"/>
      <c r="AU9" s="44"/>
      <c r="AV9" s="44"/>
      <c r="AW9" s="44"/>
      <c r="AX9" s="116"/>
      <c r="AY9" s="44"/>
      <c r="AZ9" s="44"/>
      <c r="BA9" s="44"/>
      <c r="BB9" s="44"/>
      <c r="BC9" s="44"/>
      <c r="BD9" s="44"/>
      <c r="BE9" s="44"/>
      <c r="BF9" s="44"/>
      <c r="BG9" s="44"/>
      <c r="BH9" s="116"/>
      <c r="BI9" s="44"/>
      <c r="BJ9" s="44"/>
      <c r="BK9" s="44"/>
      <c r="BL9" s="44"/>
      <c r="BM9" s="44"/>
      <c r="BN9" s="44"/>
      <c r="BO9" s="44"/>
      <c r="BP9" s="44"/>
      <c r="BQ9" s="44"/>
      <c r="BR9" s="116"/>
      <c r="BS9" s="44"/>
      <c r="BT9" s="44"/>
      <c r="BU9" s="44"/>
      <c r="BV9" s="44"/>
      <c r="BW9" s="44"/>
      <c r="BX9" s="44"/>
      <c r="BY9" s="44"/>
      <c r="BZ9" s="44"/>
      <c r="CA9" s="44"/>
      <c r="CB9" s="116"/>
      <c r="CC9" s="44"/>
      <c r="CD9" s="44"/>
      <c r="CE9" s="44"/>
      <c r="CF9" s="44"/>
      <c r="CG9" s="44"/>
      <c r="CH9" s="44"/>
      <c r="CI9" s="44"/>
      <c r="CJ9" s="44"/>
      <c r="CK9" s="44"/>
      <c r="CL9" s="116"/>
      <c r="CM9" s="44"/>
      <c r="CN9" s="44"/>
      <c r="CO9" s="44"/>
      <c r="CP9" s="44"/>
      <c r="CQ9" s="44"/>
      <c r="CR9" s="44"/>
      <c r="CS9" s="44"/>
      <c r="CT9" s="44"/>
      <c r="CU9" s="44"/>
      <c r="CV9" s="116"/>
      <c r="CW9" s="44"/>
      <c r="CX9" s="44"/>
      <c r="CY9" s="44"/>
      <c r="CZ9" s="44"/>
      <c r="DA9" s="44"/>
      <c r="DB9" s="44"/>
      <c r="DC9" s="44"/>
      <c r="DD9" s="44"/>
      <c r="DE9" s="44"/>
    </row>
    <row r="10" spans="1:109">
      <c r="A10" s="112"/>
      <c r="B10" s="117"/>
      <c r="C10" s="95"/>
      <c r="D10" s="58"/>
      <c r="E10" s="54"/>
      <c r="F10" s="54"/>
      <c r="G10" s="54"/>
      <c r="H10" s="42"/>
      <c r="I10" s="42"/>
      <c r="J10" s="117"/>
      <c r="K10" s="120"/>
      <c r="L10" s="42"/>
      <c r="M10" s="44"/>
      <c r="N10" s="42"/>
      <c r="O10" s="44"/>
      <c r="P10" s="44"/>
      <c r="Q10" s="44"/>
      <c r="R10" s="44"/>
      <c r="S10" s="44"/>
      <c r="T10" s="117"/>
      <c r="U10" s="44"/>
      <c r="V10" s="44"/>
      <c r="W10" s="44"/>
      <c r="X10" s="44"/>
      <c r="Y10" s="44"/>
      <c r="Z10" s="44"/>
      <c r="AA10" s="44"/>
      <c r="AB10" s="44"/>
      <c r="AC10" s="44"/>
      <c r="AD10" s="117"/>
      <c r="AE10" s="44"/>
      <c r="AF10" s="44"/>
      <c r="AG10" s="44"/>
      <c r="AH10" s="44"/>
      <c r="AI10" s="44"/>
      <c r="AJ10" s="44"/>
      <c r="AK10" s="44"/>
      <c r="AL10" s="44"/>
      <c r="AM10" s="44"/>
      <c r="AN10" s="117"/>
      <c r="AO10" s="44"/>
      <c r="AP10" s="44"/>
      <c r="AQ10" s="44"/>
      <c r="AR10" s="44"/>
      <c r="AS10" s="44"/>
      <c r="AT10" s="44"/>
      <c r="AU10" s="44"/>
      <c r="AV10" s="44"/>
      <c r="AW10" s="44"/>
      <c r="AX10" s="117"/>
      <c r="AY10" s="44"/>
      <c r="AZ10" s="44"/>
      <c r="BA10" s="44"/>
      <c r="BB10" s="44"/>
      <c r="BC10" s="44"/>
      <c r="BD10" s="44"/>
      <c r="BE10" s="44"/>
      <c r="BF10" s="44"/>
      <c r="BG10" s="44"/>
      <c r="BH10" s="117"/>
      <c r="BI10" s="44"/>
      <c r="BJ10" s="44"/>
      <c r="BK10" s="44"/>
      <c r="BL10" s="44"/>
      <c r="BM10" s="44"/>
      <c r="BN10" s="44"/>
      <c r="BO10" s="44"/>
      <c r="BP10" s="44"/>
      <c r="BQ10" s="44"/>
      <c r="BR10" s="117"/>
      <c r="BS10" s="44"/>
      <c r="BT10" s="44"/>
      <c r="BU10" s="44"/>
      <c r="BV10" s="44"/>
      <c r="BW10" s="44"/>
      <c r="BX10" s="44"/>
      <c r="BY10" s="44"/>
      <c r="BZ10" s="44"/>
      <c r="CA10" s="44"/>
      <c r="CB10" s="117"/>
      <c r="CC10" s="44"/>
      <c r="CD10" s="44"/>
      <c r="CE10" s="44"/>
      <c r="CF10" s="44"/>
      <c r="CG10" s="44"/>
      <c r="CH10" s="44"/>
      <c r="CI10" s="44"/>
      <c r="CJ10" s="44"/>
      <c r="CK10" s="44"/>
      <c r="CL10" s="117"/>
      <c r="CM10" s="44"/>
      <c r="CN10" s="44"/>
      <c r="CO10" s="44"/>
      <c r="CP10" s="44"/>
      <c r="CQ10" s="44"/>
      <c r="CR10" s="44"/>
      <c r="CS10" s="44"/>
      <c r="CT10" s="44"/>
      <c r="CU10" s="44"/>
      <c r="CV10" s="117"/>
      <c r="CW10" s="44"/>
      <c r="CX10" s="44"/>
      <c r="CY10" s="44"/>
      <c r="CZ10" s="44"/>
      <c r="DA10" s="44"/>
      <c r="DB10" s="44"/>
      <c r="DC10" s="44"/>
      <c r="DD10" s="44"/>
      <c r="DE10" s="44"/>
    </row>
    <row r="11" spans="1:109">
      <c r="A11" s="113"/>
      <c r="B11" s="117"/>
      <c r="C11" s="95"/>
      <c r="D11" s="58"/>
      <c r="E11" s="54"/>
      <c r="F11" s="54"/>
      <c r="G11" s="54"/>
      <c r="H11" s="49"/>
      <c r="I11" s="49"/>
      <c r="J11" s="117"/>
      <c r="K11" s="121"/>
      <c r="L11" s="49"/>
      <c r="M11" s="50"/>
      <c r="N11" s="49"/>
      <c r="O11" s="50"/>
      <c r="P11" s="50"/>
      <c r="Q11" s="51"/>
      <c r="R11" s="44"/>
      <c r="S11" s="44"/>
      <c r="T11" s="117"/>
      <c r="U11" s="44"/>
      <c r="V11" s="44"/>
      <c r="W11" s="44"/>
      <c r="X11" s="44"/>
      <c r="Y11" s="44"/>
      <c r="Z11" s="44"/>
      <c r="AA11" s="44"/>
      <c r="AB11" s="44"/>
      <c r="AC11" s="44"/>
      <c r="AD11" s="117"/>
      <c r="AE11" s="44"/>
      <c r="AF11" s="44"/>
      <c r="AG11" s="44"/>
      <c r="AH11" s="44"/>
      <c r="AI11" s="44"/>
      <c r="AJ11" s="44"/>
      <c r="AK11" s="44"/>
      <c r="AL11" s="44"/>
      <c r="AM11" s="44"/>
      <c r="AN11" s="117"/>
      <c r="AO11" s="44"/>
      <c r="AP11" s="44"/>
      <c r="AQ11" s="44"/>
      <c r="AR11" s="44"/>
      <c r="AS11" s="44"/>
      <c r="AT11" s="44"/>
      <c r="AU11" s="44"/>
      <c r="AV11" s="44"/>
      <c r="AW11" s="44"/>
      <c r="AX11" s="117"/>
      <c r="AY11" s="44"/>
      <c r="AZ11" s="44"/>
      <c r="BA11" s="44"/>
      <c r="BB11" s="44"/>
      <c r="BC11" s="44"/>
      <c r="BD11" s="44"/>
      <c r="BE11" s="44"/>
      <c r="BF11" s="44"/>
      <c r="BG11" s="44"/>
      <c r="BH11" s="117"/>
      <c r="BI11" s="44"/>
      <c r="BJ11" s="44"/>
      <c r="BK11" s="44"/>
      <c r="BL11" s="44"/>
      <c r="BM11" s="44"/>
      <c r="BN11" s="44"/>
      <c r="BO11" s="44"/>
      <c r="BP11" s="44"/>
      <c r="BQ11" s="44"/>
      <c r="BR11" s="117"/>
      <c r="BS11" s="44"/>
      <c r="BT11" s="44"/>
      <c r="BU11" s="44"/>
      <c r="BV11" s="44"/>
      <c r="BW11" s="44"/>
      <c r="BX11" s="44"/>
      <c r="BY11" s="44"/>
      <c r="BZ11" s="44"/>
      <c r="CA11" s="44"/>
      <c r="CB11" s="117"/>
      <c r="CC11" s="44"/>
      <c r="CD11" s="44"/>
      <c r="CE11" s="44"/>
      <c r="CF11" s="44"/>
      <c r="CG11" s="44"/>
      <c r="CH11" s="44"/>
      <c r="CI11" s="44"/>
      <c r="CJ11" s="44"/>
      <c r="CK11" s="44"/>
      <c r="CL11" s="117"/>
      <c r="CM11" s="44"/>
      <c r="CN11" s="44"/>
      <c r="CO11" s="44"/>
      <c r="CP11" s="44"/>
      <c r="CQ11" s="44"/>
      <c r="CR11" s="44"/>
      <c r="CS11" s="44"/>
      <c r="CT11" s="44"/>
      <c r="CU11" s="44"/>
      <c r="CV11" s="117"/>
      <c r="CW11" s="44"/>
      <c r="CX11" s="44"/>
      <c r="CY11" s="44"/>
      <c r="CZ11" s="44"/>
      <c r="DA11" s="44"/>
      <c r="DB11" s="44"/>
      <c r="DC11" s="44"/>
      <c r="DD11" s="44"/>
      <c r="DE11" s="44"/>
    </row>
    <row r="12" spans="1:109">
      <c r="A12" s="113"/>
      <c r="B12" s="117"/>
      <c r="C12" s="95"/>
      <c r="D12" s="58"/>
      <c r="E12" s="54"/>
      <c r="F12" s="54"/>
      <c r="G12" s="54"/>
      <c r="H12" s="49"/>
      <c r="I12" s="49"/>
      <c r="J12" s="117"/>
      <c r="K12" s="121"/>
      <c r="L12" s="49"/>
      <c r="M12" s="50"/>
      <c r="N12" s="49"/>
      <c r="O12" s="50"/>
      <c r="P12" s="50"/>
      <c r="Q12" s="51"/>
      <c r="R12" s="44"/>
      <c r="S12" s="44"/>
      <c r="T12" s="117"/>
      <c r="U12" s="44"/>
      <c r="V12" s="44"/>
      <c r="W12" s="44"/>
      <c r="X12" s="44"/>
      <c r="Y12" s="44"/>
      <c r="Z12" s="44"/>
      <c r="AA12" s="44"/>
      <c r="AB12" s="44"/>
      <c r="AC12" s="44"/>
      <c r="AD12" s="117"/>
      <c r="AE12" s="44"/>
      <c r="AF12" s="44"/>
      <c r="AG12" s="44"/>
      <c r="AH12" s="44"/>
      <c r="AI12" s="44"/>
      <c r="AJ12" s="44"/>
      <c r="AK12" s="44"/>
      <c r="AL12" s="44"/>
      <c r="AM12" s="44"/>
      <c r="AN12" s="117"/>
      <c r="AO12" s="44"/>
      <c r="AP12" s="44"/>
      <c r="AQ12" s="44"/>
      <c r="AR12" s="44"/>
      <c r="AS12" s="44"/>
      <c r="AT12" s="44"/>
      <c r="AU12" s="44"/>
      <c r="AV12" s="44"/>
      <c r="AW12" s="44"/>
      <c r="AX12" s="117"/>
      <c r="AY12" s="44"/>
      <c r="AZ12" s="44"/>
      <c r="BA12" s="44"/>
      <c r="BB12" s="44"/>
      <c r="BC12" s="44"/>
      <c r="BD12" s="44"/>
      <c r="BE12" s="44"/>
      <c r="BF12" s="44"/>
      <c r="BG12" s="44"/>
      <c r="BH12" s="117"/>
      <c r="BI12" s="44"/>
      <c r="BJ12" s="44"/>
      <c r="BK12" s="44"/>
      <c r="BL12" s="44"/>
      <c r="BM12" s="44"/>
      <c r="BN12" s="44"/>
      <c r="BO12" s="44"/>
      <c r="BP12" s="44"/>
      <c r="BQ12" s="44"/>
      <c r="BR12" s="117"/>
      <c r="BS12" s="44"/>
      <c r="BT12" s="44"/>
      <c r="BU12" s="44"/>
      <c r="BV12" s="44"/>
      <c r="BW12" s="44"/>
      <c r="BX12" s="44"/>
      <c r="BY12" s="44"/>
      <c r="BZ12" s="44"/>
      <c r="CA12" s="44"/>
      <c r="CB12" s="117"/>
      <c r="CC12" s="44"/>
      <c r="CD12" s="44"/>
      <c r="CE12" s="44"/>
      <c r="CF12" s="44"/>
      <c r="CG12" s="44"/>
      <c r="CH12" s="44"/>
      <c r="CI12" s="44"/>
      <c r="CJ12" s="44"/>
      <c r="CK12" s="44"/>
      <c r="CL12" s="117"/>
      <c r="CM12" s="44"/>
      <c r="CN12" s="44"/>
      <c r="CO12" s="44"/>
      <c r="CP12" s="44"/>
      <c r="CQ12" s="44"/>
      <c r="CR12" s="44"/>
      <c r="CS12" s="44"/>
      <c r="CT12" s="44"/>
      <c r="CU12" s="44"/>
      <c r="CV12" s="117"/>
      <c r="CW12" s="44"/>
      <c r="CX12" s="44"/>
      <c r="CY12" s="44"/>
      <c r="CZ12" s="44"/>
      <c r="DA12" s="44"/>
      <c r="DB12" s="44"/>
      <c r="DC12" s="44"/>
      <c r="DD12" s="44"/>
      <c r="DE12" s="44"/>
    </row>
    <row r="13" spans="1:109">
      <c r="A13" s="113"/>
      <c r="B13" s="117"/>
      <c r="C13" s="95"/>
      <c r="D13" s="58"/>
      <c r="E13" s="54"/>
      <c r="F13" s="54"/>
      <c r="G13" s="54"/>
      <c r="H13" s="49"/>
      <c r="I13" s="49"/>
      <c r="J13" s="117"/>
      <c r="K13" s="121"/>
      <c r="L13" s="49"/>
      <c r="M13" s="50"/>
      <c r="N13" s="49"/>
      <c r="O13" s="50"/>
      <c r="P13" s="50"/>
      <c r="Q13" s="51"/>
      <c r="R13" s="44"/>
      <c r="S13" s="44"/>
      <c r="T13" s="117"/>
      <c r="U13" s="44"/>
      <c r="V13" s="44"/>
      <c r="W13" s="44"/>
      <c r="X13" s="44"/>
      <c r="Y13" s="44"/>
      <c r="Z13" s="44"/>
      <c r="AA13" s="44"/>
      <c r="AB13" s="44"/>
      <c r="AC13" s="44"/>
      <c r="AD13" s="117"/>
      <c r="AE13" s="44"/>
      <c r="AF13" s="44"/>
      <c r="AG13" s="44"/>
      <c r="AH13" s="44"/>
      <c r="AI13" s="44"/>
      <c r="AJ13" s="44"/>
      <c r="AK13" s="44"/>
      <c r="AL13" s="44"/>
      <c r="AM13" s="44"/>
      <c r="AN13" s="117"/>
      <c r="AO13" s="44"/>
      <c r="AP13" s="44"/>
      <c r="AQ13" s="44"/>
      <c r="AR13" s="44"/>
      <c r="AS13" s="44"/>
      <c r="AT13" s="44"/>
      <c r="AU13" s="44"/>
      <c r="AV13" s="44"/>
      <c r="AW13" s="44"/>
      <c r="AX13" s="117"/>
      <c r="AY13" s="44"/>
      <c r="AZ13" s="44"/>
      <c r="BA13" s="44"/>
      <c r="BB13" s="44"/>
      <c r="BC13" s="44"/>
      <c r="BD13" s="44"/>
      <c r="BE13" s="44"/>
      <c r="BF13" s="44"/>
      <c r="BG13" s="44"/>
      <c r="BH13" s="117"/>
      <c r="BI13" s="44"/>
      <c r="BJ13" s="44"/>
      <c r="BK13" s="44"/>
      <c r="BL13" s="44"/>
      <c r="BM13" s="44"/>
      <c r="BN13" s="44"/>
      <c r="BO13" s="44"/>
      <c r="BP13" s="44"/>
      <c r="BQ13" s="44"/>
      <c r="BR13" s="117"/>
      <c r="BS13" s="44"/>
      <c r="BT13" s="44"/>
      <c r="BU13" s="44"/>
      <c r="BV13" s="44"/>
      <c r="BW13" s="44"/>
      <c r="BX13" s="44"/>
      <c r="BY13" s="44"/>
      <c r="BZ13" s="44"/>
      <c r="CA13" s="44"/>
      <c r="CB13" s="117"/>
      <c r="CC13" s="44"/>
      <c r="CD13" s="44"/>
      <c r="CE13" s="44"/>
      <c r="CF13" s="44"/>
      <c r="CG13" s="44"/>
      <c r="CH13" s="44"/>
      <c r="CI13" s="44"/>
      <c r="CJ13" s="44"/>
      <c r="CK13" s="44"/>
      <c r="CL13" s="117"/>
      <c r="CM13" s="44"/>
      <c r="CN13" s="44"/>
      <c r="CO13" s="44"/>
      <c r="CP13" s="44"/>
      <c r="CQ13" s="44"/>
      <c r="CR13" s="44"/>
      <c r="CS13" s="44"/>
      <c r="CT13" s="44"/>
      <c r="CU13" s="44"/>
      <c r="CV13" s="117"/>
      <c r="CW13" s="44"/>
      <c r="CX13" s="44"/>
      <c r="CY13" s="44"/>
      <c r="CZ13" s="44"/>
      <c r="DA13" s="44"/>
      <c r="DB13" s="44"/>
      <c r="DC13" s="44"/>
      <c r="DD13" s="44"/>
      <c r="DE13" s="44"/>
    </row>
    <row r="14" spans="1:109">
      <c r="A14" s="113"/>
      <c r="B14" s="117"/>
      <c r="C14" s="95"/>
      <c r="D14" s="58"/>
      <c r="E14" s="54"/>
      <c r="F14" s="54"/>
      <c r="G14" s="54"/>
      <c r="H14" s="49"/>
      <c r="I14" s="49"/>
      <c r="J14" s="117"/>
      <c r="K14" s="121"/>
      <c r="L14" s="49"/>
      <c r="M14" s="50"/>
      <c r="N14" s="49"/>
      <c r="O14" s="50"/>
      <c r="P14" s="50"/>
      <c r="Q14" s="51"/>
      <c r="R14" s="44"/>
      <c r="S14" s="44"/>
      <c r="T14" s="117"/>
      <c r="U14" s="44"/>
      <c r="V14" s="44"/>
      <c r="W14" s="44"/>
      <c r="X14" s="44"/>
      <c r="Y14" s="44"/>
      <c r="Z14" s="44"/>
      <c r="AA14" s="44"/>
      <c r="AB14" s="44"/>
      <c r="AC14" s="44"/>
      <c r="AD14" s="117"/>
      <c r="AE14" s="44"/>
      <c r="AF14" s="44"/>
      <c r="AG14" s="44"/>
      <c r="AH14" s="44"/>
      <c r="AI14" s="44"/>
      <c r="AJ14" s="44"/>
      <c r="AK14" s="44"/>
      <c r="AL14" s="44"/>
      <c r="AM14" s="44"/>
      <c r="AN14" s="117"/>
      <c r="AO14" s="44"/>
      <c r="AP14" s="44"/>
      <c r="AQ14" s="44"/>
      <c r="AR14" s="44"/>
      <c r="AS14" s="44"/>
      <c r="AT14" s="44"/>
      <c r="AU14" s="44"/>
      <c r="AV14" s="44"/>
      <c r="AW14" s="44"/>
      <c r="AX14" s="117"/>
      <c r="AY14" s="44"/>
      <c r="AZ14" s="44"/>
      <c r="BA14" s="44"/>
      <c r="BB14" s="44"/>
      <c r="BC14" s="44"/>
      <c r="BD14" s="44"/>
      <c r="BE14" s="44"/>
      <c r="BF14" s="44"/>
      <c r="BG14" s="44"/>
      <c r="BH14" s="117"/>
      <c r="BI14" s="44"/>
      <c r="BJ14" s="44"/>
      <c r="BK14" s="44"/>
      <c r="BL14" s="44"/>
      <c r="BM14" s="44"/>
      <c r="BN14" s="44"/>
      <c r="BO14" s="44"/>
      <c r="BP14" s="44"/>
      <c r="BQ14" s="44"/>
      <c r="BR14" s="117"/>
      <c r="BS14" s="44"/>
      <c r="BT14" s="44"/>
      <c r="BU14" s="44"/>
      <c r="BV14" s="44"/>
      <c r="BW14" s="44"/>
      <c r="BX14" s="44"/>
      <c r="BY14" s="44"/>
      <c r="BZ14" s="44"/>
      <c r="CA14" s="44"/>
      <c r="CB14" s="117"/>
      <c r="CC14" s="44"/>
      <c r="CD14" s="44"/>
      <c r="CE14" s="44"/>
      <c r="CF14" s="44"/>
      <c r="CG14" s="44"/>
      <c r="CH14" s="44"/>
      <c r="CI14" s="44"/>
      <c r="CJ14" s="44"/>
      <c r="CK14" s="44"/>
      <c r="CL14" s="117"/>
      <c r="CM14" s="44"/>
      <c r="CN14" s="44"/>
      <c r="CO14" s="44"/>
      <c r="CP14" s="44"/>
      <c r="CQ14" s="44"/>
      <c r="CR14" s="44"/>
      <c r="CS14" s="44"/>
      <c r="CT14" s="44"/>
      <c r="CU14" s="44"/>
      <c r="CV14" s="117"/>
      <c r="CW14" s="44"/>
      <c r="CX14" s="44"/>
      <c r="CY14" s="44"/>
      <c r="CZ14" s="44"/>
      <c r="DA14" s="44"/>
      <c r="DB14" s="44"/>
      <c r="DC14" s="44"/>
      <c r="DD14" s="44"/>
      <c r="DE14" s="44"/>
    </row>
    <row r="15" spans="1:109">
      <c r="A15" s="113"/>
      <c r="B15" s="117"/>
      <c r="C15" s="95"/>
      <c r="D15" s="58"/>
      <c r="E15" s="54"/>
      <c r="F15" s="54"/>
      <c r="G15" s="54"/>
      <c r="H15" s="49"/>
      <c r="I15" s="49"/>
      <c r="J15" s="117"/>
      <c r="K15" s="121"/>
      <c r="L15" s="49"/>
      <c r="M15" s="50"/>
      <c r="N15" s="49"/>
      <c r="O15" s="50"/>
      <c r="P15" s="50"/>
      <c r="Q15" s="51"/>
      <c r="R15" s="44"/>
      <c r="S15" s="44"/>
      <c r="T15" s="117"/>
      <c r="U15" s="44"/>
      <c r="V15" s="44"/>
      <c r="W15" s="44"/>
      <c r="X15" s="44"/>
      <c r="Y15" s="44"/>
      <c r="Z15" s="44"/>
      <c r="AA15" s="44"/>
      <c r="AB15" s="44"/>
      <c r="AC15" s="44"/>
      <c r="AD15" s="117"/>
      <c r="AE15" s="44"/>
      <c r="AF15" s="44"/>
      <c r="AG15" s="44"/>
      <c r="AH15" s="44"/>
      <c r="AI15" s="44"/>
      <c r="AJ15" s="44"/>
      <c r="AK15" s="44"/>
      <c r="AL15" s="44"/>
      <c r="AM15" s="44"/>
      <c r="AN15" s="117"/>
      <c r="AO15" s="44"/>
      <c r="AP15" s="44"/>
      <c r="AQ15" s="44"/>
      <c r="AR15" s="44"/>
      <c r="AS15" s="44"/>
      <c r="AT15" s="44"/>
      <c r="AU15" s="44"/>
      <c r="AV15" s="44"/>
      <c r="AW15" s="44"/>
      <c r="AX15" s="117"/>
      <c r="AY15" s="44"/>
      <c r="AZ15" s="44"/>
      <c r="BA15" s="44"/>
      <c r="BB15" s="44"/>
      <c r="BC15" s="44"/>
      <c r="BD15" s="44"/>
      <c r="BE15" s="44"/>
      <c r="BF15" s="44"/>
      <c r="BG15" s="44"/>
      <c r="BH15" s="117"/>
      <c r="BI15" s="44"/>
      <c r="BJ15" s="44"/>
      <c r="BK15" s="44"/>
      <c r="BL15" s="44"/>
      <c r="BM15" s="44"/>
      <c r="BN15" s="44"/>
      <c r="BO15" s="44"/>
      <c r="BP15" s="44"/>
      <c r="BQ15" s="44"/>
      <c r="BR15" s="117"/>
      <c r="BS15" s="44"/>
      <c r="BT15" s="44"/>
      <c r="BU15" s="44"/>
      <c r="BV15" s="44"/>
      <c r="BW15" s="44"/>
      <c r="BX15" s="44"/>
      <c r="BY15" s="44"/>
      <c r="BZ15" s="44"/>
      <c r="CA15" s="44"/>
      <c r="CB15" s="117"/>
      <c r="CC15" s="44"/>
      <c r="CD15" s="44"/>
      <c r="CE15" s="44"/>
      <c r="CF15" s="44"/>
      <c r="CG15" s="44"/>
      <c r="CH15" s="44"/>
      <c r="CI15" s="44"/>
      <c r="CJ15" s="44"/>
      <c r="CK15" s="44"/>
      <c r="CL15" s="117"/>
      <c r="CM15" s="44"/>
      <c r="CN15" s="44"/>
      <c r="CO15" s="44"/>
      <c r="CP15" s="44"/>
      <c r="CQ15" s="44"/>
      <c r="CR15" s="44"/>
      <c r="CS15" s="44"/>
      <c r="CT15" s="44"/>
      <c r="CU15" s="44"/>
      <c r="CV15" s="117"/>
      <c r="CW15" s="44"/>
      <c r="CX15" s="44"/>
      <c r="CY15" s="44"/>
      <c r="CZ15" s="44"/>
      <c r="DA15" s="44"/>
      <c r="DB15" s="44"/>
      <c r="DC15" s="44"/>
      <c r="DD15" s="44"/>
      <c r="DE15" s="44"/>
    </row>
    <row r="16" spans="1:109">
      <c r="A16" s="113"/>
      <c r="B16" s="117"/>
      <c r="C16" s="95"/>
      <c r="D16" s="58"/>
      <c r="E16" s="54"/>
      <c r="F16" s="54"/>
      <c r="G16" s="54"/>
      <c r="H16" s="49"/>
      <c r="I16" s="49"/>
      <c r="J16" s="117"/>
      <c r="K16" s="121"/>
      <c r="L16" s="49"/>
      <c r="M16" s="50"/>
      <c r="N16" s="49"/>
      <c r="O16" s="50"/>
      <c r="P16" s="50"/>
      <c r="Q16" s="51"/>
      <c r="R16" s="44"/>
      <c r="S16" s="44"/>
      <c r="T16" s="117"/>
      <c r="U16" s="44"/>
      <c r="V16" s="44"/>
      <c r="W16" s="44"/>
      <c r="X16" s="44"/>
      <c r="Y16" s="44"/>
      <c r="Z16" s="44"/>
      <c r="AA16" s="44"/>
      <c r="AB16" s="44"/>
      <c r="AC16" s="44"/>
      <c r="AD16" s="117"/>
      <c r="AE16" s="44"/>
      <c r="AF16" s="44"/>
      <c r="AG16" s="44"/>
      <c r="AH16" s="44"/>
      <c r="AI16" s="44"/>
      <c r="AJ16" s="44"/>
      <c r="AK16" s="44"/>
      <c r="AL16" s="44"/>
      <c r="AM16" s="44"/>
      <c r="AN16" s="117"/>
      <c r="AO16" s="44"/>
      <c r="AP16" s="44"/>
      <c r="AQ16" s="44"/>
      <c r="AR16" s="44"/>
      <c r="AS16" s="44"/>
      <c r="AT16" s="44"/>
      <c r="AU16" s="44"/>
      <c r="AV16" s="44"/>
      <c r="AW16" s="44"/>
      <c r="AX16" s="117"/>
      <c r="AY16" s="44"/>
      <c r="AZ16" s="44"/>
      <c r="BA16" s="44"/>
      <c r="BB16" s="44"/>
      <c r="BC16" s="44"/>
      <c r="BD16" s="44"/>
      <c r="BE16" s="44"/>
      <c r="BF16" s="44"/>
      <c r="BG16" s="44"/>
      <c r="BH16" s="117"/>
      <c r="BI16" s="44"/>
      <c r="BJ16" s="44"/>
      <c r="BK16" s="44"/>
      <c r="BL16" s="44"/>
      <c r="BM16" s="44"/>
      <c r="BN16" s="44"/>
      <c r="BO16" s="44"/>
      <c r="BP16" s="44"/>
      <c r="BQ16" s="44"/>
      <c r="BR16" s="117"/>
      <c r="BS16" s="44"/>
      <c r="BT16" s="44"/>
      <c r="BU16" s="44"/>
      <c r="BV16" s="44"/>
      <c r="BW16" s="44"/>
      <c r="BX16" s="44"/>
      <c r="BY16" s="44"/>
      <c r="BZ16" s="44"/>
      <c r="CA16" s="44"/>
      <c r="CB16" s="117"/>
      <c r="CC16" s="44"/>
      <c r="CD16" s="44"/>
      <c r="CE16" s="44"/>
      <c r="CF16" s="44"/>
      <c r="CG16" s="44"/>
      <c r="CH16" s="44"/>
      <c r="CI16" s="44"/>
      <c r="CJ16" s="44"/>
      <c r="CK16" s="44"/>
      <c r="CL16" s="117"/>
      <c r="CM16" s="44"/>
      <c r="CN16" s="44"/>
      <c r="CO16" s="44"/>
      <c r="CP16" s="44"/>
      <c r="CQ16" s="44"/>
      <c r="CR16" s="44"/>
      <c r="CS16" s="44"/>
      <c r="CT16" s="44"/>
      <c r="CU16" s="44"/>
      <c r="CV16" s="117"/>
      <c r="CW16" s="44"/>
      <c r="CX16" s="44"/>
      <c r="CY16" s="44"/>
      <c r="CZ16" s="44"/>
      <c r="DA16" s="44"/>
      <c r="DB16" s="44"/>
      <c r="DC16" s="44"/>
      <c r="DD16" s="44"/>
      <c r="DE16" s="44"/>
    </row>
    <row r="17" spans="1:109">
      <c r="A17" s="113"/>
      <c r="B17" s="117"/>
      <c r="C17" s="95"/>
      <c r="D17" s="58"/>
      <c r="E17" s="54"/>
      <c r="F17" s="54"/>
      <c r="G17" s="54"/>
      <c r="H17" s="49"/>
      <c r="I17" s="49"/>
      <c r="J17" s="117"/>
      <c r="K17" s="121"/>
      <c r="L17" s="49"/>
      <c r="M17" s="50"/>
      <c r="N17" s="49"/>
      <c r="O17" s="50"/>
      <c r="P17" s="50"/>
      <c r="Q17" s="51"/>
      <c r="R17" s="44"/>
      <c r="S17" s="44"/>
      <c r="T17" s="117"/>
      <c r="U17" s="44"/>
      <c r="V17" s="44"/>
      <c r="W17" s="44"/>
      <c r="X17" s="44"/>
      <c r="Y17" s="44"/>
      <c r="Z17" s="44"/>
      <c r="AA17" s="44"/>
      <c r="AB17" s="44"/>
      <c r="AC17" s="44"/>
      <c r="AD17" s="117"/>
      <c r="AE17" s="44"/>
      <c r="AF17" s="44"/>
      <c r="AG17" s="44"/>
      <c r="AH17" s="44"/>
      <c r="AI17" s="44"/>
      <c r="AJ17" s="44"/>
      <c r="AK17" s="44"/>
      <c r="AL17" s="44"/>
      <c r="AM17" s="44"/>
      <c r="AN17" s="117"/>
      <c r="AO17" s="44"/>
      <c r="AP17" s="44"/>
      <c r="AQ17" s="44"/>
      <c r="AR17" s="44"/>
      <c r="AS17" s="44"/>
      <c r="AT17" s="44"/>
      <c r="AU17" s="44"/>
      <c r="AV17" s="44"/>
      <c r="AW17" s="44"/>
      <c r="AX17" s="117"/>
      <c r="AY17" s="44"/>
      <c r="AZ17" s="44"/>
      <c r="BA17" s="44"/>
      <c r="BB17" s="44"/>
      <c r="BC17" s="44"/>
      <c r="BD17" s="44"/>
      <c r="BE17" s="44"/>
      <c r="BF17" s="44"/>
      <c r="BG17" s="44"/>
      <c r="BH17" s="117"/>
      <c r="BI17" s="44"/>
      <c r="BJ17" s="44"/>
      <c r="BK17" s="44"/>
      <c r="BL17" s="44"/>
      <c r="BM17" s="44"/>
      <c r="BN17" s="44"/>
      <c r="BO17" s="44"/>
      <c r="BP17" s="44"/>
      <c r="BQ17" s="44"/>
      <c r="BR17" s="117"/>
      <c r="BS17" s="44"/>
      <c r="BT17" s="44"/>
      <c r="BU17" s="44"/>
      <c r="BV17" s="44"/>
      <c r="BW17" s="44"/>
      <c r="BX17" s="44"/>
      <c r="BY17" s="44"/>
      <c r="BZ17" s="44"/>
      <c r="CA17" s="44"/>
      <c r="CB17" s="117"/>
      <c r="CC17" s="44"/>
      <c r="CD17" s="44"/>
      <c r="CE17" s="44"/>
      <c r="CF17" s="44"/>
      <c r="CG17" s="44"/>
      <c r="CH17" s="44"/>
      <c r="CI17" s="44"/>
      <c r="CJ17" s="44"/>
      <c r="CK17" s="44"/>
      <c r="CL17" s="117"/>
      <c r="CM17" s="44"/>
      <c r="CN17" s="44"/>
      <c r="CO17" s="44"/>
      <c r="CP17" s="44"/>
      <c r="CQ17" s="44"/>
      <c r="CR17" s="44"/>
      <c r="CS17" s="44"/>
      <c r="CT17" s="44"/>
      <c r="CU17" s="44"/>
      <c r="CV17" s="117"/>
      <c r="CW17" s="44"/>
      <c r="CX17" s="44"/>
      <c r="CY17" s="44"/>
      <c r="CZ17" s="44"/>
      <c r="DA17" s="44"/>
      <c r="DB17" s="44"/>
      <c r="DC17" s="44"/>
      <c r="DD17" s="44"/>
      <c r="DE17" s="44"/>
    </row>
    <row r="18" spans="1:109">
      <c r="A18" s="113"/>
      <c r="B18" s="117"/>
      <c r="C18" s="95"/>
      <c r="D18" s="58"/>
      <c r="E18" s="54"/>
      <c r="F18" s="54"/>
      <c r="G18" s="54"/>
      <c r="H18" s="49"/>
      <c r="I18" s="49"/>
      <c r="J18" s="117"/>
      <c r="K18" s="121"/>
      <c r="L18" s="49"/>
      <c r="M18" s="50"/>
      <c r="N18" s="49"/>
      <c r="O18" s="50"/>
      <c r="P18" s="50"/>
      <c r="Q18" s="51"/>
      <c r="R18" s="44"/>
      <c r="S18" s="44"/>
      <c r="T18" s="117"/>
      <c r="U18" s="44"/>
      <c r="V18" s="44"/>
      <c r="W18" s="44"/>
      <c r="X18" s="44"/>
      <c r="Y18" s="44"/>
      <c r="Z18" s="44"/>
      <c r="AA18" s="44"/>
      <c r="AB18" s="44"/>
      <c r="AC18" s="44"/>
      <c r="AD18" s="117"/>
      <c r="AE18" s="44"/>
      <c r="AF18" s="44"/>
      <c r="AG18" s="44"/>
      <c r="AH18" s="44"/>
      <c r="AI18" s="44"/>
      <c r="AJ18" s="44"/>
      <c r="AK18" s="44"/>
      <c r="AL18" s="44"/>
      <c r="AM18" s="44"/>
      <c r="AN18" s="117"/>
      <c r="AO18" s="44"/>
      <c r="AP18" s="44"/>
      <c r="AQ18" s="44"/>
      <c r="AR18" s="44"/>
      <c r="AS18" s="44"/>
      <c r="AT18" s="44"/>
      <c r="AU18" s="44"/>
      <c r="AV18" s="44"/>
      <c r="AW18" s="44"/>
      <c r="AX18" s="117"/>
      <c r="AY18" s="44"/>
      <c r="AZ18" s="44"/>
      <c r="BA18" s="44"/>
      <c r="BB18" s="44"/>
      <c r="BC18" s="44"/>
      <c r="BD18" s="44"/>
      <c r="BE18" s="44"/>
      <c r="BF18" s="44"/>
      <c r="BG18" s="44"/>
      <c r="BH18" s="117"/>
      <c r="BI18" s="44"/>
      <c r="BJ18" s="44"/>
      <c r="BK18" s="44"/>
      <c r="BL18" s="44"/>
      <c r="BM18" s="44"/>
      <c r="BN18" s="44"/>
      <c r="BO18" s="44"/>
      <c r="BP18" s="44"/>
      <c r="BQ18" s="44"/>
      <c r="BR18" s="117"/>
      <c r="BS18" s="44"/>
      <c r="BT18" s="44"/>
      <c r="BU18" s="44"/>
      <c r="BV18" s="44"/>
      <c r="BW18" s="44"/>
      <c r="BX18" s="44"/>
      <c r="BY18" s="44"/>
      <c r="BZ18" s="44"/>
      <c r="CA18" s="44"/>
      <c r="CB18" s="117"/>
      <c r="CC18" s="44"/>
      <c r="CD18" s="44"/>
      <c r="CE18" s="44"/>
      <c r="CF18" s="44"/>
      <c r="CG18" s="44"/>
      <c r="CH18" s="44"/>
      <c r="CI18" s="44"/>
      <c r="CJ18" s="44"/>
      <c r="CK18" s="44"/>
      <c r="CL18" s="117"/>
      <c r="CM18" s="44"/>
      <c r="CN18" s="44"/>
      <c r="CO18" s="44"/>
      <c r="CP18" s="44"/>
      <c r="CQ18" s="44"/>
      <c r="CR18" s="44"/>
      <c r="CS18" s="44"/>
      <c r="CT18" s="44"/>
      <c r="CU18" s="44"/>
      <c r="CV18" s="117"/>
      <c r="CW18" s="44"/>
      <c r="CX18" s="44"/>
      <c r="CY18" s="44"/>
      <c r="CZ18" s="44"/>
      <c r="DA18" s="44"/>
      <c r="DB18" s="44"/>
      <c r="DC18" s="44"/>
      <c r="DD18" s="44"/>
      <c r="DE18" s="44"/>
    </row>
    <row r="19" spans="1:109">
      <c r="A19" s="113"/>
      <c r="B19" s="117"/>
      <c r="C19" s="95"/>
      <c r="D19" s="58"/>
      <c r="E19" s="54"/>
      <c r="F19" s="54"/>
      <c r="G19" s="54"/>
      <c r="H19" s="49"/>
      <c r="I19" s="49"/>
      <c r="J19" s="117"/>
      <c r="K19" s="121"/>
      <c r="L19" s="49"/>
      <c r="M19" s="50"/>
      <c r="N19" s="49"/>
      <c r="O19" s="50"/>
      <c r="P19" s="50"/>
      <c r="Q19" s="51"/>
      <c r="R19" s="44"/>
      <c r="S19" s="44"/>
      <c r="T19" s="117"/>
      <c r="U19" s="44"/>
      <c r="V19" s="44"/>
      <c r="W19" s="44"/>
      <c r="X19" s="44"/>
      <c r="Y19" s="44"/>
      <c r="Z19" s="44"/>
      <c r="AA19" s="44"/>
      <c r="AB19" s="44"/>
      <c r="AC19" s="44"/>
      <c r="AD19" s="117"/>
      <c r="AE19" s="44"/>
      <c r="AF19" s="44"/>
      <c r="AG19" s="44"/>
      <c r="AH19" s="44"/>
      <c r="AI19" s="44"/>
      <c r="AJ19" s="44"/>
      <c r="AK19" s="44"/>
      <c r="AL19" s="44"/>
      <c r="AM19" s="44"/>
      <c r="AN19" s="117"/>
      <c r="AO19" s="44"/>
      <c r="AP19" s="44"/>
      <c r="AQ19" s="44"/>
      <c r="AR19" s="44"/>
      <c r="AS19" s="44"/>
      <c r="AT19" s="44"/>
      <c r="AU19" s="44"/>
      <c r="AV19" s="44"/>
      <c r="AW19" s="44"/>
      <c r="AX19" s="117"/>
      <c r="AY19" s="44"/>
      <c r="AZ19" s="44"/>
      <c r="BA19" s="44"/>
      <c r="BB19" s="44"/>
      <c r="BC19" s="44"/>
      <c r="BD19" s="44"/>
      <c r="BE19" s="44"/>
      <c r="BF19" s="44"/>
      <c r="BG19" s="44"/>
      <c r="BH19" s="117"/>
      <c r="BI19" s="44"/>
      <c r="BJ19" s="44"/>
      <c r="BK19" s="44"/>
      <c r="BL19" s="44"/>
      <c r="BM19" s="44"/>
      <c r="BN19" s="44"/>
      <c r="BO19" s="44"/>
      <c r="BP19" s="44"/>
      <c r="BQ19" s="44"/>
      <c r="BR19" s="117"/>
      <c r="BS19" s="44"/>
      <c r="BT19" s="44"/>
      <c r="BU19" s="44"/>
      <c r="BV19" s="44"/>
      <c r="BW19" s="44"/>
      <c r="BX19" s="44"/>
      <c r="BY19" s="44"/>
      <c r="BZ19" s="44"/>
      <c r="CA19" s="44"/>
      <c r="CB19" s="117"/>
      <c r="CC19" s="44"/>
      <c r="CD19" s="44"/>
      <c r="CE19" s="44"/>
      <c r="CF19" s="44"/>
      <c r="CG19" s="44"/>
      <c r="CH19" s="44"/>
      <c r="CI19" s="44"/>
      <c r="CJ19" s="44"/>
      <c r="CK19" s="44"/>
      <c r="CL19" s="117"/>
      <c r="CM19" s="44"/>
      <c r="CN19" s="44"/>
      <c r="CO19" s="44"/>
      <c r="CP19" s="44"/>
      <c r="CQ19" s="44"/>
      <c r="CR19" s="44"/>
      <c r="CS19" s="44"/>
      <c r="CT19" s="44"/>
      <c r="CU19" s="44"/>
      <c r="CV19" s="117"/>
      <c r="CW19" s="44"/>
      <c r="CX19" s="44"/>
      <c r="CY19" s="44"/>
      <c r="CZ19" s="44"/>
      <c r="DA19" s="44"/>
      <c r="DB19" s="44"/>
      <c r="DC19" s="44"/>
      <c r="DD19" s="44"/>
      <c r="DE19" s="44"/>
    </row>
    <row r="20" spans="1:109">
      <c r="A20" s="113"/>
      <c r="B20" s="117"/>
      <c r="C20" s="95"/>
      <c r="D20" s="58"/>
      <c r="E20" s="54"/>
      <c r="F20" s="54"/>
      <c r="G20" s="54"/>
      <c r="H20" s="49"/>
      <c r="I20" s="49"/>
      <c r="J20" s="117"/>
      <c r="K20" s="121"/>
      <c r="L20" s="49"/>
      <c r="M20" s="50"/>
      <c r="N20" s="49"/>
      <c r="O20" s="50"/>
      <c r="P20" s="50"/>
      <c r="Q20" s="51"/>
      <c r="R20" s="44"/>
      <c r="S20" s="44"/>
      <c r="T20" s="117"/>
      <c r="U20" s="44"/>
      <c r="V20" s="44"/>
      <c r="W20" s="44"/>
      <c r="X20" s="44"/>
      <c r="Y20" s="44"/>
      <c r="Z20" s="44"/>
      <c r="AA20" s="44"/>
      <c r="AB20" s="44"/>
      <c r="AC20" s="44"/>
      <c r="AD20" s="117"/>
      <c r="AE20" s="44"/>
      <c r="AF20" s="44"/>
      <c r="AG20" s="44"/>
      <c r="AH20" s="44"/>
      <c r="AI20" s="44"/>
      <c r="AJ20" s="44"/>
      <c r="AK20" s="44"/>
      <c r="AL20" s="44"/>
      <c r="AM20" s="44"/>
      <c r="AN20" s="117"/>
      <c r="AO20" s="44"/>
      <c r="AP20" s="44"/>
      <c r="AQ20" s="44"/>
      <c r="AR20" s="44"/>
      <c r="AS20" s="44"/>
      <c r="AT20" s="44"/>
      <c r="AU20" s="44"/>
      <c r="AV20" s="44"/>
      <c r="AW20" s="44"/>
      <c r="AX20" s="117"/>
      <c r="AY20" s="44"/>
      <c r="AZ20" s="44"/>
      <c r="BA20" s="44"/>
      <c r="BB20" s="44"/>
      <c r="BC20" s="44"/>
      <c r="BD20" s="44"/>
      <c r="BE20" s="44"/>
      <c r="BF20" s="44"/>
      <c r="BG20" s="44"/>
      <c r="BH20" s="117"/>
      <c r="BI20" s="44"/>
      <c r="BJ20" s="44"/>
      <c r="BK20" s="44"/>
      <c r="BL20" s="44"/>
      <c r="BM20" s="44"/>
      <c r="BN20" s="44"/>
      <c r="BO20" s="44"/>
      <c r="BP20" s="44"/>
      <c r="BQ20" s="44"/>
      <c r="BR20" s="117"/>
      <c r="BS20" s="44"/>
      <c r="BT20" s="44"/>
      <c r="BU20" s="44"/>
      <c r="BV20" s="44"/>
      <c r="BW20" s="44"/>
      <c r="BX20" s="44"/>
      <c r="BY20" s="44"/>
      <c r="BZ20" s="44"/>
      <c r="CA20" s="44"/>
      <c r="CB20" s="117"/>
      <c r="CC20" s="44"/>
      <c r="CD20" s="44"/>
      <c r="CE20" s="44"/>
      <c r="CF20" s="44"/>
      <c r="CG20" s="44"/>
      <c r="CH20" s="44"/>
      <c r="CI20" s="44"/>
      <c r="CJ20" s="44"/>
      <c r="CK20" s="44"/>
      <c r="CL20" s="117"/>
      <c r="CM20" s="44"/>
      <c r="CN20" s="44"/>
      <c r="CO20" s="44"/>
      <c r="CP20" s="44"/>
      <c r="CQ20" s="44"/>
      <c r="CR20" s="44"/>
      <c r="CS20" s="44"/>
      <c r="CT20" s="44"/>
      <c r="CU20" s="44"/>
      <c r="CV20" s="117"/>
      <c r="CW20" s="44"/>
      <c r="CX20" s="44"/>
      <c r="CY20" s="44"/>
      <c r="CZ20" s="44"/>
      <c r="DA20" s="44"/>
      <c r="DB20" s="44"/>
      <c r="DC20" s="44"/>
      <c r="DD20" s="44"/>
      <c r="DE20" s="44"/>
    </row>
    <row r="21" spans="1:109">
      <c r="A21" s="113"/>
      <c r="B21" s="117"/>
      <c r="C21" s="95"/>
      <c r="D21" s="58"/>
      <c r="E21" s="54"/>
      <c r="F21" s="54"/>
      <c r="G21" s="54"/>
      <c r="H21" s="49"/>
      <c r="I21" s="49"/>
      <c r="J21" s="117"/>
      <c r="K21" s="121"/>
      <c r="L21" s="49"/>
      <c r="M21" s="50"/>
      <c r="N21" s="49"/>
      <c r="O21" s="50"/>
      <c r="P21" s="50"/>
      <c r="Q21" s="51"/>
      <c r="R21" s="44"/>
      <c r="S21" s="44"/>
      <c r="T21" s="117"/>
      <c r="U21" s="44"/>
      <c r="V21" s="44"/>
      <c r="W21" s="44"/>
      <c r="X21" s="44"/>
      <c r="Y21" s="44"/>
      <c r="Z21" s="44"/>
      <c r="AA21" s="44"/>
      <c r="AB21" s="44"/>
      <c r="AC21" s="44"/>
      <c r="AD21" s="117"/>
      <c r="AE21" s="44"/>
      <c r="AF21" s="44"/>
      <c r="AG21" s="44"/>
      <c r="AH21" s="44"/>
      <c r="AI21" s="44"/>
      <c r="AJ21" s="44"/>
      <c r="AK21" s="44"/>
      <c r="AL21" s="44"/>
      <c r="AM21" s="44"/>
      <c r="AN21" s="117"/>
      <c r="AO21" s="44"/>
      <c r="AP21" s="44"/>
      <c r="AQ21" s="44"/>
      <c r="AR21" s="44"/>
      <c r="AS21" s="44"/>
      <c r="AT21" s="44"/>
      <c r="AU21" s="44"/>
      <c r="AV21" s="44"/>
      <c r="AW21" s="44"/>
      <c r="AX21" s="117"/>
      <c r="AY21" s="44"/>
      <c r="AZ21" s="44"/>
      <c r="BA21" s="44"/>
      <c r="BB21" s="44"/>
      <c r="BC21" s="44"/>
      <c r="BD21" s="44"/>
      <c r="BE21" s="44"/>
      <c r="BF21" s="44"/>
      <c r="BG21" s="44"/>
      <c r="BH21" s="117"/>
      <c r="BI21" s="44"/>
      <c r="BJ21" s="44"/>
      <c r="BK21" s="44"/>
      <c r="BL21" s="44"/>
      <c r="BM21" s="44"/>
      <c r="BN21" s="44"/>
      <c r="BO21" s="44"/>
      <c r="BP21" s="44"/>
      <c r="BQ21" s="44"/>
      <c r="BR21" s="117"/>
      <c r="BS21" s="44"/>
      <c r="BT21" s="44"/>
      <c r="BU21" s="44"/>
      <c r="BV21" s="44"/>
      <c r="BW21" s="44"/>
      <c r="BX21" s="44"/>
      <c r="BY21" s="44"/>
      <c r="BZ21" s="44"/>
      <c r="CA21" s="44"/>
      <c r="CB21" s="117"/>
      <c r="CC21" s="44"/>
      <c r="CD21" s="44"/>
      <c r="CE21" s="44"/>
      <c r="CF21" s="44"/>
      <c r="CG21" s="44"/>
      <c r="CH21" s="44"/>
      <c r="CI21" s="44"/>
      <c r="CJ21" s="44"/>
      <c r="CK21" s="44"/>
      <c r="CL21" s="117"/>
      <c r="CM21" s="44"/>
      <c r="CN21" s="44"/>
      <c r="CO21" s="44"/>
      <c r="CP21" s="44"/>
      <c r="CQ21" s="44"/>
      <c r="CR21" s="44"/>
      <c r="CS21" s="44"/>
      <c r="CT21" s="44"/>
      <c r="CU21" s="44"/>
      <c r="CV21" s="117"/>
      <c r="CW21" s="44"/>
      <c r="CX21" s="44"/>
      <c r="CY21" s="44"/>
      <c r="CZ21" s="44"/>
      <c r="DA21" s="44"/>
      <c r="DB21" s="44"/>
      <c r="DC21" s="44"/>
      <c r="DD21" s="44"/>
      <c r="DE21" s="44"/>
    </row>
    <row r="22" spans="1:109">
      <c r="A22" s="113"/>
      <c r="B22" s="117"/>
      <c r="C22" s="95"/>
      <c r="D22" s="58"/>
      <c r="E22" s="54"/>
      <c r="F22" s="54"/>
      <c r="G22" s="54"/>
      <c r="H22" s="49"/>
      <c r="I22" s="49"/>
      <c r="J22" s="117"/>
      <c r="K22" s="121"/>
      <c r="L22" s="49"/>
      <c r="M22" s="50"/>
      <c r="N22" s="49"/>
      <c r="O22" s="50"/>
      <c r="P22" s="50"/>
      <c r="Q22" s="51"/>
      <c r="R22" s="44"/>
      <c r="S22" s="44"/>
      <c r="T22" s="117"/>
      <c r="U22" s="44"/>
      <c r="V22" s="44"/>
      <c r="W22" s="44"/>
      <c r="X22" s="44"/>
      <c r="Y22" s="44"/>
      <c r="Z22" s="44"/>
      <c r="AA22" s="44"/>
      <c r="AB22" s="44"/>
      <c r="AC22" s="44"/>
      <c r="AD22" s="117"/>
      <c r="AE22" s="44"/>
      <c r="AF22" s="44"/>
      <c r="AG22" s="44"/>
      <c r="AH22" s="44"/>
      <c r="AI22" s="44"/>
      <c r="AJ22" s="44"/>
      <c r="AK22" s="44"/>
      <c r="AL22" s="44"/>
      <c r="AM22" s="44"/>
      <c r="AN22" s="117"/>
      <c r="AO22" s="44"/>
      <c r="AP22" s="44"/>
      <c r="AQ22" s="44"/>
      <c r="AR22" s="44"/>
      <c r="AS22" s="44"/>
      <c r="AT22" s="44"/>
      <c r="AU22" s="44"/>
      <c r="AV22" s="44"/>
      <c r="AW22" s="44"/>
      <c r="AX22" s="117"/>
      <c r="AY22" s="44"/>
      <c r="AZ22" s="44"/>
      <c r="BA22" s="44"/>
      <c r="BB22" s="44"/>
      <c r="BC22" s="44"/>
      <c r="BD22" s="44"/>
      <c r="BE22" s="44"/>
      <c r="BF22" s="44"/>
      <c r="BG22" s="44"/>
      <c r="BH22" s="117"/>
      <c r="BI22" s="44"/>
      <c r="BJ22" s="44"/>
      <c r="BK22" s="44"/>
      <c r="BL22" s="44"/>
      <c r="BM22" s="44"/>
      <c r="BN22" s="44"/>
      <c r="BO22" s="44"/>
      <c r="BP22" s="44"/>
      <c r="BQ22" s="44"/>
      <c r="BR22" s="117"/>
      <c r="BS22" s="44"/>
      <c r="BT22" s="44"/>
      <c r="BU22" s="44"/>
      <c r="BV22" s="44"/>
      <c r="BW22" s="44"/>
      <c r="BX22" s="44"/>
      <c r="BY22" s="44"/>
      <c r="BZ22" s="44"/>
      <c r="CA22" s="44"/>
      <c r="CB22" s="117"/>
      <c r="CC22" s="44"/>
      <c r="CD22" s="44"/>
      <c r="CE22" s="44"/>
      <c r="CF22" s="44"/>
      <c r="CG22" s="44"/>
      <c r="CH22" s="44"/>
      <c r="CI22" s="44"/>
      <c r="CJ22" s="44"/>
      <c r="CK22" s="44"/>
      <c r="CL22" s="117"/>
      <c r="CM22" s="44"/>
      <c r="CN22" s="44"/>
      <c r="CO22" s="44"/>
      <c r="CP22" s="44"/>
      <c r="CQ22" s="44"/>
      <c r="CR22" s="44"/>
      <c r="CS22" s="44"/>
      <c r="CT22" s="44"/>
      <c r="CU22" s="44"/>
      <c r="CV22" s="117"/>
      <c r="CW22" s="44"/>
      <c r="CX22" s="44"/>
      <c r="CY22" s="44"/>
      <c r="CZ22" s="44"/>
      <c r="DA22" s="44"/>
      <c r="DB22" s="44"/>
      <c r="DC22" s="44"/>
      <c r="DD22" s="44"/>
      <c r="DE22" s="44"/>
    </row>
    <row r="23" spans="1:109">
      <c r="A23" s="113"/>
      <c r="B23" s="117"/>
      <c r="C23" s="95"/>
      <c r="D23" s="58"/>
      <c r="E23" s="54"/>
      <c r="F23" s="54"/>
      <c r="G23" s="54"/>
      <c r="H23" s="49"/>
      <c r="I23" s="49"/>
      <c r="J23" s="117"/>
      <c r="K23" s="121"/>
      <c r="L23" s="49"/>
      <c r="M23" s="50"/>
      <c r="N23" s="49"/>
      <c r="O23" s="50"/>
      <c r="P23" s="50"/>
      <c r="Q23" s="51"/>
      <c r="R23" s="44"/>
      <c r="S23" s="44"/>
      <c r="T23" s="117"/>
      <c r="U23" s="44"/>
      <c r="V23" s="44"/>
      <c r="W23" s="44"/>
      <c r="X23" s="44"/>
      <c r="Y23" s="44"/>
      <c r="Z23" s="44"/>
      <c r="AA23" s="44"/>
      <c r="AB23" s="44"/>
      <c r="AC23" s="44"/>
      <c r="AD23" s="117"/>
      <c r="AE23" s="44"/>
      <c r="AF23" s="44"/>
      <c r="AG23" s="44"/>
      <c r="AH23" s="44"/>
      <c r="AI23" s="44"/>
      <c r="AJ23" s="44"/>
      <c r="AK23" s="44"/>
      <c r="AL23" s="44"/>
      <c r="AM23" s="44"/>
      <c r="AN23" s="117"/>
      <c r="AO23" s="44"/>
      <c r="AP23" s="44"/>
      <c r="AQ23" s="44"/>
      <c r="AR23" s="44"/>
      <c r="AS23" s="44"/>
      <c r="AT23" s="44"/>
      <c r="AU23" s="44"/>
      <c r="AV23" s="44"/>
      <c r="AW23" s="44"/>
      <c r="AX23" s="117"/>
      <c r="AY23" s="44"/>
      <c r="AZ23" s="44"/>
      <c r="BA23" s="44"/>
      <c r="BB23" s="44"/>
      <c r="BC23" s="44"/>
      <c r="BD23" s="44"/>
      <c r="BE23" s="44"/>
      <c r="BF23" s="44"/>
      <c r="BG23" s="44"/>
      <c r="BH23" s="117"/>
      <c r="BI23" s="44"/>
      <c r="BJ23" s="44"/>
      <c r="BK23" s="44"/>
      <c r="BL23" s="44"/>
      <c r="BM23" s="44"/>
      <c r="BN23" s="44"/>
      <c r="BO23" s="44"/>
      <c r="BP23" s="44"/>
      <c r="BQ23" s="44"/>
      <c r="BR23" s="117"/>
      <c r="BS23" s="44"/>
      <c r="BT23" s="44"/>
      <c r="BU23" s="44"/>
      <c r="BV23" s="44"/>
      <c r="BW23" s="44"/>
      <c r="BX23" s="44"/>
      <c r="BY23" s="44"/>
      <c r="BZ23" s="44"/>
      <c r="CA23" s="44"/>
      <c r="CB23" s="117"/>
      <c r="CC23" s="44"/>
      <c r="CD23" s="44"/>
      <c r="CE23" s="44"/>
      <c r="CF23" s="44"/>
      <c r="CG23" s="44"/>
      <c r="CH23" s="44"/>
      <c r="CI23" s="44"/>
      <c r="CJ23" s="44"/>
      <c r="CK23" s="44"/>
      <c r="CL23" s="117"/>
      <c r="CM23" s="44"/>
      <c r="CN23" s="44"/>
      <c r="CO23" s="44"/>
      <c r="CP23" s="44"/>
      <c r="CQ23" s="44"/>
      <c r="CR23" s="44"/>
      <c r="CS23" s="44"/>
      <c r="CT23" s="44"/>
      <c r="CU23" s="44"/>
      <c r="CV23" s="117"/>
      <c r="CW23" s="44"/>
      <c r="CX23" s="44"/>
      <c r="CY23" s="44"/>
      <c r="CZ23" s="44"/>
      <c r="DA23" s="44"/>
      <c r="DB23" s="44"/>
      <c r="DC23" s="44"/>
      <c r="DD23" s="44"/>
      <c r="DE23" s="44"/>
    </row>
    <row r="24" spans="1:109">
      <c r="A24" s="113"/>
      <c r="B24" s="117"/>
      <c r="C24" s="95"/>
      <c r="D24" s="58"/>
      <c r="E24" s="54"/>
      <c r="F24" s="54"/>
      <c r="G24" s="54"/>
      <c r="H24" s="49"/>
      <c r="I24" s="49"/>
      <c r="J24" s="117"/>
      <c r="K24" s="121"/>
      <c r="L24" s="49"/>
      <c r="M24" s="50"/>
      <c r="N24" s="49"/>
      <c r="O24" s="50"/>
      <c r="P24" s="50"/>
      <c r="Q24" s="51"/>
      <c r="R24" s="44"/>
      <c r="S24" s="44"/>
      <c r="T24" s="117"/>
      <c r="U24" s="44"/>
      <c r="V24" s="44"/>
      <c r="W24" s="44"/>
      <c r="X24" s="44"/>
      <c r="Y24" s="44"/>
      <c r="Z24" s="44"/>
      <c r="AA24" s="44"/>
      <c r="AB24" s="44"/>
      <c r="AC24" s="44"/>
      <c r="AD24" s="117"/>
      <c r="AE24" s="44"/>
      <c r="AF24" s="44"/>
      <c r="AG24" s="44"/>
      <c r="AH24" s="44"/>
      <c r="AI24" s="44"/>
      <c r="AJ24" s="44"/>
      <c r="AK24" s="44"/>
      <c r="AL24" s="44"/>
      <c r="AM24" s="44"/>
      <c r="AN24" s="117"/>
      <c r="AO24" s="44"/>
      <c r="AP24" s="44"/>
      <c r="AQ24" s="44"/>
      <c r="AR24" s="44"/>
      <c r="AS24" s="44"/>
      <c r="AT24" s="44"/>
      <c r="AU24" s="44"/>
      <c r="AV24" s="44"/>
      <c r="AW24" s="44"/>
      <c r="AX24" s="117"/>
      <c r="AY24" s="44"/>
      <c r="AZ24" s="44"/>
      <c r="BA24" s="44"/>
      <c r="BB24" s="44"/>
      <c r="BC24" s="44"/>
      <c r="BD24" s="44"/>
      <c r="BE24" s="44"/>
      <c r="BF24" s="44"/>
      <c r="BG24" s="44"/>
      <c r="BH24" s="117"/>
      <c r="BI24" s="44"/>
      <c r="BJ24" s="44"/>
      <c r="BK24" s="44"/>
      <c r="BL24" s="44"/>
      <c r="BM24" s="44"/>
      <c r="BN24" s="44"/>
      <c r="BO24" s="44"/>
      <c r="BP24" s="44"/>
      <c r="BQ24" s="44"/>
      <c r="BR24" s="117"/>
      <c r="BS24" s="44"/>
      <c r="BT24" s="44"/>
      <c r="BU24" s="44"/>
      <c r="BV24" s="44"/>
      <c r="BW24" s="44"/>
      <c r="BX24" s="44"/>
      <c r="BY24" s="44"/>
      <c r="BZ24" s="44"/>
      <c r="CA24" s="44"/>
      <c r="CB24" s="117"/>
      <c r="CC24" s="44"/>
      <c r="CD24" s="44"/>
      <c r="CE24" s="44"/>
      <c r="CF24" s="44"/>
      <c r="CG24" s="44"/>
      <c r="CH24" s="44"/>
      <c r="CI24" s="44"/>
      <c r="CJ24" s="44"/>
      <c r="CK24" s="44"/>
      <c r="CL24" s="117"/>
      <c r="CM24" s="44"/>
      <c r="CN24" s="44"/>
      <c r="CO24" s="44"/>
      <c r="CP24" s="44"/>
      <c r="CQ24" s="44"/>
      <c r="CR24" s="44"/>
      <c r="CS24" s="44"/>
      <c r="CT24" s="44"/>
      <c r="CU24" s="44"/>
      <c r="CV24" s="117"/>
      <c r="CW24" s="44"/>
      <c r="CX24" s="44"/>
      <c r="CY24" s="44"/>
      <c r="CZ24" s="44"/>
      <c r="DA24" s="44"/>
      <c r="DB24" s="44"/>
      <c r="DC24" s="44"/>
      <c r="DD24" s="44"/>
      <c r="DE24" s="44"/>
    </row>
    <row r="25" spans="1:109">
      <c r="A25" s="113"/>
      <c r="B25" s="117"/>
      <c r="C25" s="95"/>
      <c r="D25" s="58"/>
      <c r="E25" s="54"/>
      <c r="F25" s="54"/>
      <c r="G25" s="54"/>
      <c r="H25" s="49"/>
      <c r="I25" s="49"/>
      <c r="J25" s="117"/>
      <c r="K25" s="121"/>
      <c r="L25" s="49"/>
      <c r="M25" s="50"/>
      <c r="N25" s="49"/>
      <c r="O25" s="50"/>
      <c r="P25" s="50"/>
      <c r="Q25" s="51"/>
      <c r="R25" s="44"/>
      <c r="S25" s="44"/>
      <c r="T25" s="117"/>
      <c r="U25" s="44"/>
      <c r="V25" s="44"/>
      <c r="W25" s="44"/>
      <c r="X25" s="44"/>
      <c r="Y25" s="44"/>
      <c r="Z25" s="44"/>
      <c r="AA25" s="44"/>
      <c r="AB25" s="44"/>
      <c r="AC25" s="44"/>
      <c r="AD25" s="117"/>
      <c r="AE25" s="44"/>
      <c r="AF25" s="44"/>
      <c r="AG25" s="44"/>
      <c r="AH25" s="44"/>
      <c r="AI25" s="44"/>
      <c r="AJ25" s="44"/>
      <c r="AK25" s="44"/>
      <c r="AL25" s="44"/>
      <c r="AM25" s="44"/>
      <c r="AN25" s="117"/>
      <c r="AO25" s="44"/>
      <c r="AP25" s="44"/>
      <c r="AQ25" s="44"/>
      <c r="AR25" s="44"/>
      <c r="AS25" s="44"/>
      <c r="AT25" s="44"/>
      <c r="AU25" s="44"/>
      <c r="AV25" s="44"/>
      <c r="AW25" s="44"/>
      <c r="AX25" s="117"/>
      <c r="AY25" s="44"/>
      <c r="AZ25" s="44"/>
      <c r="BA25" s="44"/>
      <c r="BB25" s="44"/>
      <c r="BC25" s="44"/>
      <c r="BD25" s="44"/>
      <c r="BE25" s="44"/>
      <c r="BF25" s="44"/>
      <c r="BG25" s="44"/>
      <c r="BH25" s="117"/>
      <c r="BI25" s="44"/>
      <c r="BJ25" s="44"/>
      <c r="BK25" s="44"/>
      <c r="BL25" s="44"/>
      <c r="BM25" s="44"/>
      <c r="BN25" s="44"/>
      <c r="BO25" s="44"/>
      <c r="BP25" s="44"/>
      <c r="BQ25" s="44"/>
      <c r="BR25" s="117"/>
      <c r="BS25" s="44"/>
      <c r="BT25" s="44"/>
      <c r="BU25" s="44"/>
      <c r="BV25" s="44"/>
      <c r="BW25" s="44"/>
      <c r="BX25" s="44"/>
      <c r="BY25" s="44"/>
      <c r="BZ25" s="44"/>
      <c r="CA25" s="44"/>
      <c r="CB25" s="117"/>
      <c r="CC25" s="44"/>
      <c r="CD25" s="44"/>
      <c r="CE25" s="44"/>
      <c r="CF25" s="44"/>
      <c r="CG25" s="44"/>
      <c r="CH25" s="44"/>
      <c r="CI25" s="44"/>
      <c r="CJ25" s="44"/>
      <c r="CK25" s="44"/>
      <c r="CL25" s="117"/>
      <c r="CM25" s="44"/>
      <c r="CN25" s="44"/>
      <c r="CO25" s="44"/>
      <c r="CP25" s="44"/>
      <c r="CQ25" s="44"/>
      <c r="CR25" s="44"/>
      <c r="CS25" s="44"/>
      <c r="CT25" s="44"/>
      <c r="CU25" s="44"/>
      <c r="CV25" s="117"/>
      <c r="CW25" s="44"/>
      <c r="CX25" s="44"/>
      <c r="CY25" s="44"/>
      <c r="CZ25" s="44"/>
      <c r="DA25" s="44"/>
      <c r="DB25" s="44"/>
      <c r="DC25" s="44"/>
      <c r="DD25" s="44"/>
      <c r="DE25" s="44"/>
    </row>
    <row r="26" spans="1:109">
      <c r="A26" s="113"/>
      <c r="B26" s="117"/>
      <c r="C26" s="95"/>
      <c r="D26" s="58"/>
      <c r="E26" s="54"/>
      <c r="F26" s="54"/>
      <c r="G26" s="54"/>
      <c r="H26" s="49"/>
      <c r="I26" s="49"/>
      <c r="J26" s="117"/>
      <c r="K26" s="121"/>
      <c r="L26" s="49"/>
      <c r="M26" s="50"/>
      <c r="N26" s="49"/>
      <c r="O26" s="50"/>
      <c r="P26" s="50"/>
      <c r="Q26" s="51"/>
      <c r="R26" s="44"/>
      <c r="S26" s="44"/>
      <c r="T26" s="117"/>
      <c r="U26" s="44"/>
      <c r="V26" s="44"/>
      <c r="W26" s="44"/>
      <c r="X26" s="44"/>
      <c r="Y26" s="44"/>
      <c r="Z26" s="44"/>
      <c r="AA26" s="44"/>
      <c r="AB26" s="44"/>
      <c r="AC26" s="44"/>
      <c r="AD26" s="117"/>
      <c r="AE26" s="44"/>
      <c r="AF26" s="44"/>
      <c r="AG26" s="44"/>
      <c r="AH26" s="44"/>
      <c r="AI26" s="44"/>
      <c r="AJ26" s="44"/>
      <c r="AK26" s="44"/>
      <c r="AL26" s="44"/>
      <c r="AM26" s="44"/>
      <c r="AN26" s="117"/>
      <c r="AO26" s="44"/>
      <c r="AP26" s="44"/>
      <c r="AQ26" s="44"/>
      <c r="AR26" s="44"/>
      <c r="AS26" s="44"/>
      <c r="AT26" s="44"/>
      <c r="AU26" s="44"/>
      <c r="AV26" s="44"/>
      <c r="AW26" s="44"/>
      <c r="AX26" s="117"/>
      <c r="AY26" s="44"/>
      <c r="AZ26" s="44"/>
      <c r="BA26" s="44"/>
      <c r="BB26" s="44"/>
      <c r="BC26" s="44"/>
      <c r="BD26" s="44"/>
      <c r="BE26" s="44"/>
      <c r="BF26" s="44"/>
      <c r="BG26" s="44"/>
      <c r="BH26" s="117"/>
      <c r="BI26" s="44"/>
      <c r="BJ26" s="44"/>
      <c r="BK26" s="44"/>
      <c r="BL26" s="44"/>
      <c r="BM26" s="44"/>
      <c r="BN26" s="44"/>
      <c r="BO26" s="44"/>
      <c r="BP26" s="44"/>
      <c r="BQ26" s="44"/>
      <c r="BR26" s="117"/>
      <c r="BS26" s="44"/>
      <c r="BT26" s="44"/>
      <c r="BU26" s="44"/>
      <c r="BV26" s="44"/>
      <c r="BW26" s="44"/>
      <c r="BX26" s="44"/>
      <c r="BY26" s="44"/>
      <c r="BZ26" s="44"/>
      <c r="CA26" s="44"/>
      <c r="CB26" s="117"/>
      <c r="CC26" s="44"/>
      <c r="CD26" s="44"/>
      <c r="CE26" s="44"/>
      <c r="CF26" s="44"/>
      <c r="CG26" s="44"/>
      <c r="CH26" s="44"/>
      <c r="CI26" s="44"/>
      <c r="CJ26" s="44"/>
      <c r="CK26" s="44"/>
      <c r="CL26" s="117"/>
      <c r="CM26" s="44"/>
      <c r="CN26" s="44"/>
      <c r="CO26" s="44"/>
      <c r="CP26" s="44"/>
      <c r="CQ26" s="44"/>
      <c r="CR26" s="44"/>
      <c r="CS26" s="44"/>
      <c r="CT26" s="44"/>
      <c r="CU26" s="44"/>
      <c r="CV26" s="117"/>
      <c r="CW26" s="44"/>
      <c r="CX26" s="44"/>
      <c r="CY26" s="44"/>
      <c r="CZ26" s="44"/>
      <c r="DA26" s="44"/>
      <c r="DB26" s="44"/>
      <c r="DC26" s="44"/>
      <c r="DD26" s="44"/>
      <c r="DE26" s="44"/>
    </row>
    <row r="27" spans="1:109">
      <c r="A27" s="113"/>
      <c r="B27" s="117"/>
      <c r="C27" s="95"/>
      <c r="D27" s="58"/>
      <c r="E27" s="54"/>
      <c r="F27" s="54"/>
      <c r="G27" s="54"/>
      <c r="H27" s="49"/>
      <c r="I27" s="49"/>
      <c r="J27" s="117"/>
      <c r="K27" s="121"/>
      <c r="L27" s="49"/>
      <c r="M27" s="50"/>
      <c r="N27" s="49"/>
      <c r="O27" s="50"/>
      <c r="P27" s="50"/>
      <c r="Q27" s="51"/>
      <c r="R27" s="44"/>
      <c r="S27" s="44"/>
      <c r="T27" s="117"/>
      <c r="U27" s="44"/>
      <c r="V27" s="44"/>
      <c r="W27" s="44"/>
      <c r="X27" s="44"/>
      <c r="Y27" s="44"/>
      <c r="Z27" s="44"/>
      <c r="AA27" s="44"/>
      <c r="AB27" s="44"/>
      <c r="AC27" s="44"/>
      <c r="AD27" s="117"/>
      <c r="AE27" s="44"/>
      <c r="AF27" s="44"/>
      <c r="AG27" s="44"/>
      <c r="AH27" s="44"/>
      <c r="AI27" s="44"/>
      <c r="AJ27" s="44"/>
      <c r="AK27" s="44"/>
      <c r="AL27" s="44"/>
      <c r="AM27" s="44"/>
      <c r="AN27" s="117"/>
      <c r="AO27" s="44"/>
      <c r="AP27" s="44"/>
      <c r="AQ27" s="44"/>
      <c r="AR27" s="44"/>
      <c r="AS27" s="44"/>
      <c r="AT27" s="44"/>
      <c r="AU27" s="44"/>
      <c r="AV27" s="44"/>
      <c r="AW27" s="44"/>
      <c r="AX27" s="117"/>
      <c r="AY27" s="44"/>
      <c r="AZ27" s="44"/>
      <c r="BA27" s="44"/>
      <c r="BB27" s="44"/>
      <c r="BC27" s="44"/>
      <c r="BD27" s="44"/>
      <c r="BE27" s="44"/>
      <c r="BF27" s="44"/>
      <c r="BG27" s="44"/>
      <c r="BH27" s="117"/>
      <c r="BI27" s="44"/>
      <c r="BJ27" s="44"/>
      <c r="BK27" s="44"/>
      <c r="BL27" s="44"/>
      <c r="BM27" s="44"/>
      <c r="BN27" s="44"/>
      <c r="BO27" s="44"/>
      <c r="BP27" s="44"/>
      <c r="BQ27" s="44"/>
      <c r="BR27" s="117"/>
      <c r="BS27" s="44"/>
      <c r="BT27" s="44"/>
      <c r="BU27" s="44"/>
      <c r="BV27" s="44"/>
      <c r="BW27" s="44"/>
      <c r="BX27" s="44"/>
      <c r="BY27" s="44"/>
      <c r="BZ27" s="44"/>
      <c r="CA27" s="44"/>
      <c r="CB27" s="117"/>
      <c r="CC27" s="44"/>
      <c r="CD27" s="44"/>
      <c r="CE27" s="44"/>
      <c r="CF27" s="44"/>
      <c r="CG27" s="44"/>
      <c r="CH27" s="44"/>
      <c r="CI27" s="44"/>
      <c r="CJ27" s="44"/>
      <c r="CK27" s="44"/>
      <c r="CL27" s="117"/>
      <c r="CM27" s="44"/>
      <c r="CN27" s="44"/>
      <c r="CO27" s="44"/>
      <c r="CP27" s="44"/>
      <c r="CQ27" s="44"/>
      <c r="CR27" s="44"/>
      <c r="CS27" s="44"/>
      <c r="CT27" s="44"/>
      <c r="CU27" s="44"/>
      <c r="CV27" s="117"/>
      <c r="CW27" s="44"/>
      <c r="CX27" s="44"/>
      <c r="CY27" s="44"/>
      <c r="CZ27" s="44"/>
      <c r="DA27" s="44"/>
      <c r="DB27" s="44"/>
      <c r="DC27" s="44"/>
      <c r="DD27" s="44"/>
      <c r="DE27" s="44"/>
    </row>
    <row r="28" spans="1:109">
      <c r="A28" s="113"/>
      <c r="B28" s="117"/>
      <c r="C28" s="95"/>
      <c r="D28" s="58"/>
      <c r="E28" s="54"/>
      <c r="F28" s="54"/>
      <c r="G28" s="54"/>
      <c r="H28" s="49"/>
      <c r="I28" s="49"/>
      <c r="J28" s="117"/>
      <c r="K28" s="121"/>
      <c r="L28" s="49"/>
      <c r="M28" s="50"/>
      <c r="N28" s="49"/>
      <c r="O28" s="50"/>
      <c r="P28" s="50"/>
      <c r="Q28" s="51"/>
      <c r="R28" s="44"/>
      <c r="S28" s="44"/>
      <c r="T28" s="117"/>
      <c r="U28" s="44"/>
      <c r="V28" s="44"/>
      <c r="W28" s="44"/>
      <c r="X28" s="44"/>
      <c r="Y28" s="44"/>
      <c r="Z28" s="44"/>
      <c r="AA28" s="44"/>
      <c r="AB28" s="44"/>
      <c r="AC28" s="44"/>
      <c r="AD28" s="117"/>
      <c r="AE28" s="44"/>
      <c r="AF28" s="44"/>
      <c r="AG28" s="44"/>
      <c r="AH28" s="44"/>
      <c r="AI28" s="44"/>
      <c r="AJ28" s="44"/>
      <c r="AK28" s="44"/>
      <c r="AL28" s="44"/>
      <c r="AM28" s="44"/>
      <c r="AN28" s="117"/>
      <c r="AO28" s="44"/>
      <c r="AP28" s="44"/>
      <c r="AQ28" s="44"/>
      <c r="AR28" s="44"/>
      <c r="AS28" s="44"/>
      <c r="AT28" s="44"/>
      <c r="AU28" s="44"/>
      <c r="AV28" s="44"/>
      <c r="AW28" s="44"/>
      <c r="AX28" s="117"/>
      <c r="AY28" s="44"/>
      <c r="AZ28" s="44"/>
      <c r="BA28" s="44"/>
      <c r="BB28" s="44"/>
      <c r="BC28" s="44"/>
      <c r="BD28" s="44"/>
      <c r="BE28" s="44"/>
      <c r="BF28" s="44"/>
      <c r="BG28" s="44"/>
      <c r="BH28" s="117"/>
      <c r="BI28" s="44"/>
      <c r="BJ28" s="44"/>
      <c r="BK28" s="44"/>
      <c r="BL28" s="44"/>
      <c r="BM28" s="44"/>
      <c r="BN28" s="44"/>
      <c r="BO28" s="44"/>
      <c r="BP28" s="44"/>
      <c r="BQ28" s="44"/>
      <c r="BR28" s="117"/>
      <c r="BS28" s="44"/>
      <c r="BT28" s="44"/>
      <c r="BU28" s="44"/>
      <c r="BV28" s="44"/>
      <c r="BW28" s="44"/>
      <c r="BX28" s="44"/>
      <c r="BY28" s="44"/>
      <c r="BZ28" s="44"/>
      <c r="CA28" s="44"/>
      <c r="CB28" s="117"/>
      <c r="CC28" s="44"/>
      <c r="CD28" s="44"/>
      <c r="CE28" s="44"/>
      <c r="CF28" s="44"/>
      <c r="CG28" s="44"/>
      <c r="CH28" s="44"/>
      <c r="CI28" s="44"/>
      <c r="CJ28" s="44"/>
      <c r="CK28" s="44"/>
      <c r="CL28" s="117"/>
      <c r="CM28" s="44"/>
      <c r="CN28" s="44"/>
      <c r="CO28" s="44"/>
      <c r="CP28" s="44"/>
      <c r="CQ28" s="44"/>
      <c r="CR28" s="44"/>
      <c r="CS28" s="44"/>
      <c r="CT28" s="44"/>
      <c r="CU28" s="44"/>
      <c r="CV28" s="117"/>
      <c r="CW28" s="44"/>
      <c r="CX28" s="44"/>
      <c r="CY28" s="44"/>
      <c r="CZ28" s="44"/>
      <c r="DA28" s="44"/>
      <c r="DB28" s="44"/>
      <c r="DC28" s="44"/>
      <c r="DD28" s="44"/>
      <c r="DE28" s="44"/>
    </row>
    <row r="29" spans="1:109">
      <c r="A29" s="113"/>
      <c r="B29" s="117"/>
      <c r="C29" s="95"/>
      <c r="D29" s="58"/>
      <c r="E29" s="54"/>
      <c r="F29" s="54"/>
      <c r="G29" s="54"/>
      <c r="H29" s="49"/>
      <c r="I29" s="49"/>
      <c r="J29" s="117"/>
      <c r="K29" s="121"/>
      <c r="L29" s="49"/>
      <c r="M29" s="50"/>
      <c r="N29" s="49"/>
      <c r="O29" s="50"/>
      <c r="P29" s="50"/>
      <c r="Q29" s="51"/>
      <c r="R29" s="44"/>
      <c r="S29" s="44"/>
      <c r="T29" s="117"/>
      <c r="U29" s="44"/>
      <c r="V29" s="44"/>
      <c r="W29" s="44"/>
      <c r="X29" s="44"/>
      <c r="Y29" s="44"/>
      <c r="Z29" s="44"/>
      <c r="AA29" s="44"/>
      <c r="AB29" s="44"/>
      <c r="AC29" s="44"/>
      <c r="AD29" s="117"/>
      <c r="AE29" s="44"/>
      <c r="AF29" s="44"/>
      <c r="AG29" s="44"/>
      <c r="AH29" s="44"/>
      <c r="AI29" s="44"/>
      <c r="AJ29" s="44"/>
      <c r="AK29" s="44"/>
      <c r="AL29" s="44"/>
      <c r="AM29" s="44"/>
      <c r="AN29" s="117"/>
      <c r="AO29" s="44"/>
      <c r="AP29" s="44"/>
      <c r="AQ29" s="44"/>
      <c r="AR29" s="44"/>
      <c r="AS29" s="44"/>
      <c r="AT29" s="44"/>
      <c r="AU29" s="44"/>
      <c r="AV29" s="44"/>
      <c r="AW29" s="44"/>
      <c r="AX29" s="117"/>
      <c r="AY29" s="44"/>
      <c r="AZ29" s="44"/>
      <c r="BA29" s="44"/>
      <c r="BB29" s="44"/>
      <c r="BC29" s="44"/>
      <c r="BD29" s="44"/>
      <c r="BE29" s="44"/>
      <c r="BF29" s="44"/>
      <c r="BG29" s="44"/>
      <c r="BH29" s="117"/>
      <c r="BI29" s="44"/>
      <c r="BJ29" s="44"/>
      <c r="BK29" s="44"/>
      <c r="BL29" s="44"/>
      <c r="BM29" s="44"/>
      <c r="BN29" s="44"/>
      <c r="BO29" s="44"/>
      <c r="BP29" s="44"/>
      <c r="BQ29" s="44"/>
      <c r="BR29" s="117"/>
      <c r="BS29" s="44"/>
      <c r="BT29" s="44"/>
      <c r="BU29" s="44"/>
      <c r="BV29" s="44"/>
      <c r="BW29" s="44"/>
      <c r="BX29" s="44"/>
      <c r="BY29" s="44"/>
      <c r="BZ29" s="44"/>
      <c r="CA29" s="44"/>
      <c r="CB29" s="117"/>
      <c r="CC29" s="44"/>
      <c r="CD29" s="44"/>
      <c r="CE29" s="44"/>
      <c r="CF29" s="44"/>
      <c r="CG29" s="44"/>
      <c r="CH29" s="44"/>
      <c r="CI29" s="44"/>
      <c r="CJ29" s="44"/>
      <c r="CK29" s="44"/>
      <c r="CL29" s="117"/>
      <c r="CM29" s="44"/>
      <c r="CN29" s="44"/>
      <c r="CO29" s="44"/>
      <c r="CP29" s="44"/>
      <c r="CQ29" s="44"/>
      <c r="CR29" s="44"/>
      <c r="CS29" s="44"/>
      <c r="CT29" s="44"/>
      <c r="CU29" s="44"/>
      <c r="CV29" s="117"/>
      <c r="CW29" s="44"/>
      <c r="CX29" s="44"/>
      <c r="CY29" s="44"/>
      <c r="CZ29" s="44"/>
      <c r="DA29" s="44"/>
      <c r="DB29" s="44"/>
      <c r="DC29" s="44"/>
      <c r="DD29" s="44"/>
      <c r="DE29" s="44"/>
    </row>
    <row r="30" spans="1:109">
      <c r="A30" s="113"/>
      <c r="B30" s="117"/>
      <c r="C30" s="95"/>
      <c r="D30" s="58"/>
      <c r="E30" s="54"/>
      <c r="F30" s="54"/>
      <c r="G30" s="54"/>
      <c r="H30" s="49"/>
      <c r="I30" s="49"/>
      <c r="J30" s="117"/>
      <c r="K30" s="121"/>
      <c r="L30" s="49"/>
      <c r="M30" s="50"/>
      <c r="N30" s="49"/>
      <c r="O30" s="50"/>
      <c r="P30" s="50"/>
      <c r="Q30" s="51"/>
      <c r="R30" s="44"/>
      <c r="S30" s="44"/>
      <c r="T30" s="117"/>
      <c r="U30" s="44"/>
      <c r="V30" s="44"/>
      <c r="W30" s="44"/>
      <c r="X30" s="44"/>
      <c r="Y30" s="44"/>
      <c r="Z30" s="44"/>
      <c r="AA30" s="44"/>
      <c r="AB30" s="44"/>
      <c r="AC30" s="44"/>
      <c r="AD30" s="117"/>
      <c r="AE30" s="44"/>
      <c r="AF30" s="44"/>
      <c r="AG30" s="44"/>
      <c r="AH30" s="44"/>
      <c r="AI30" s="44"/>
      <c r="AJ30" s="44"/>
      <c r="AK30" s="44"/>
      <c r="AL30" s="44"/>
      <c r="AM30" s="44"/>
      <c r="AN30" s="117"/>
      <c r="AO30" s="44"/>
      <c r="AP30" s="44"/>
      <c r="AQ30" s="44"/>
      <c r="AR30" s="44"/>
      <c r="AS30" s="44"/>
      <c r="AT30" s="44"/>
      <c r="AU30" s="44"/>
      <c r="AV30" s="44"/>
      <c r="AW30" s="44"/>
      <c r="AX30" s="117"/>
      <c r="AY30" s="44"/>
      <c r="AZ30" s="44"/>
      <c r="BA30" s="44"/>
      <c r="BB30" s="44"/>
      <c r="BC30" s="44"/>
      <c r="BD30" s="44"/>
      <c r="BE30" s="44"/>
      <c r="BF30" s="44"/>
      <c r="BG30" s="44"/>
      <c r="BH30" s="117"/>
      <c r="BI30" s="44"/>
      <c r="BJ30" s="44"/>
      <c r="BK30" s="44"/>
      <c r="BL30" s="44"/>
      <c r="BM30" s="44"/>
      <c r="BN30" s="44"/>
      <c r="BO30" s="44"/>
      <c r="BP30" s="44"/>
      <c r="BQ30" s="44"/>
      <c r="BR30" s="117"/>
      <c r="BS30" s="44"/>
      <c r="BT30" s="44"/>
      <c r="BU30" s="44"/>
      <c r="BV30" s="44"/>
      <c r="BW30" s="44"/>
      <c r="BX30" s="44"/>
      <c r="BY30" s="44"/>
      <c r="BZ30" s="44"/>
      <c r="CA30" s="44"/>
      <c r="CB30" s="117"/>
      <c r="CC30" s="44"/>
      <c r="CD30" s="44"/>
      <c r="CE30" s="44"/>
      <c r="CF30" s="44"/>
      <c r="CG30" s="44"/>
      <c r="CH30" s="44"/>
      <c r="CI30" s="44"/>
      <c r="CJ30" s="44"/>
      <c r="CK30" s="44"/>
      <c r="CL30" s="117"/>
      <c r="CM30" s="44"/>
      <c r="CN30" s="44"/>
      <c r="CO30" s="44"/>
      <c r="CP30" s="44"/>
      <c r="CQ30" s="44"/>
      <c r="CR30" s="44"/>
      <c r="CS30" s="44"/>
      <c r="CT30" s="44"/>
      <c r="CU30" s="44"/>
      <c r="CV30" s="117"/>
      <c r="CW30" s="44"/>
      <c r="CX30" s="44"/>
      <c r="CY30" s="44"/>
      <c r="CZ30" s="44"/>
      <c r="DA30" s="44"/>
      <c r="DB30" s="44"/>
      <c r="DC30" s="44"/>
      <c r="DD30" s="44"/>
      <c r="DE30" s="44"/>
    </row>
    <row r="31" spans="1:109">
      <c r="A31" s="113"/>
      <c r="B31" s="117"/>
      <c r="C31" s="95"/>
      <c r="D31" s="58"/>
      <c r="E31" s="54"/>
      <c r="F31" s="54"/>
      <c r="G31" s="54"/>
      <c r="H31" s="49"/>
      <c r="I31" s="49"/>
      <c r="J31" s="117"/>
      <c r="K31" s="121"/>
      <c r="L31" s="49"/>
      <c r="M31" s="50"/>
      <c r="N31" s="49"/>
      <c r="O31" s="50"/>
      <c r="P31" s="50"/>
      <c r="Q31" s="51"/>
      <c r="R31" s="44"/>
      <c r="S31" s="44"/>
      <c r="T31" s="117"/>
      <c r="U31" s="44"/>
      <c r="V31" s="44"/>
      <c r="W31" s="44"/>
      <c r="X31" s="44"/>
      <c r="Y31" s="44"/>
      <c r="Z31" s="44"/>
      <c r="AA31" s="44"/>
      <c r="AB31" s="44"/>
      <c r="AC31" s="44"/>
      <c r="AD31" s="117"/>
      <c r="AE31" s="44"/>
      <c r="AF31" s="44"/>
      <c r="AG31" s="44"/>
      <c r="AH31" s="44"/>
      <c r="AI31" s="44"/>
      <c r="AJ31" s="44"/>
      <c r="AK31" s="44"/>
      <c r="AL31" s="44"/>
      <c r="AM31" s="44"/>
      <c r="AN31" s="117"/>
      <c r="AO31" s="44"/>
      <c r="AP31" s="44"/>
      <c r="AQ31" s="44"/>
      <c r="AR31" s="44"/>
      <c r="AS31" s="44"/>
      <c r="AT31" s="44"/>
      <c r="AU31" s="44"/>
      <c r="AV31" s="44"/>
      <c r="AW31" s="44"/>
      <c r="AX31" s="117"/>
      <c r="AY31" s="44"/>
      <c r="AZ31" s="44"/>
      <c r="BA31" s="44"/>
      <c r="BB31" s="44"/>
      <c r="BC31" s="44"/>
      <c r="BD31" s="44"/>
      <c r="BE31" s="44"/>
      <c r="BF31" s="44"/>
      <c r="BG31" s="44"/>
      <c r="BH31" s="117"/>
      <c r="BI31" s="44"/>
      <c r="BJ31" s="44"/>
      <c r="BK31" s="44"/>
      <c r="BL31" s="44"/>
      <c r="BM31" s="44"/>
      <c r="BN31" s="44"/>
      <c r="BO31" s="44"/>
      <c r="BP31" s="44"/>
      <c r="BQ31" s="44"/>
      <c r="BR31" s="117"/>
      <c r="BS31" s="44"/>
      <c r="BT31" s="44"/>
      <c r="BU31" s="44"/>
      <c r="BV31" s="44"/>
      <c r="BW31" s="44"/>
      <c r="BX31" s="44"/>
      <c r="BY31" s="44"/>
      <c r="BZ31" s="44"/>
      <c r="CA31" s="44"/>
      <c r="CB31" s="117"/>
      <c r="CC31" s="44"/>
      <c r="CD31" s="44"/>
      <c r="CE31" s="44"/>
      <c r="CF31" s="44"/>
      <c r="CG31" s="44"/>
      <c r="CH31" s="44"/>
      <c r="CI31" s="44"/>
      <c r="CJ31" s="44"/>
      <c r="CK31" s="44"/>
      <c r="CL31" s="117"/>
      <c r="CM31" s="44"/>
      <c r="CN31" s="44"/>
      <c r="CO31" s="44"/>
      <c r="CP31" s="44"/>
      <c r="CQ31" s="44"/>
      <c r="CR31" s="44"/>
      <c r="CS31" s="44"/>
      <c r="CT31" s="44"/>
      <c r="CU31" s="44"/>
      <c r="CV31" s="117"/>
      <c r="CW31" s="44"/>
      <c r="CX31" s="44"/>
      <c r="CY31" s="44"/>
      <c r="CZ31" s="44"/>
      <c r="DA31" s="44"/>
      <c r="DB31" s="44"/>
      <c r="DC31" s="44"/>
      <c r="DD31" s="44"/>
      <c r="DE31" s="44"/>
    </row>
    <row r="32" spans="1:109">
      <c r="A32" s="113"/>
      <c r="B32" s="117"/>
      <c r="C32" s="95"/>
      <c r="D32" s="58"/>
      <c r="E32" s="54"/>
      <c r="F32" s="54"/>
      <c r="G32" s="54"/>
      <c r="H32" s="49"/>
      <c r="I32" s="49"/>
      <c r="J32" s="117"/>
      <c r="K32" s="121"/>
      <c r="L32" s="49"/>
      <c r="M32" s="50"/>
      <c r="N32" s="49"/>
      <c r="O32" s="50"/>
      <c r="P32" s="50"/>
      <c r="Q32" s="51"/>
      <c r="R32" s="44"/>
      <c r="S32" s="44"/>
      <c r="T32" s="117"/>
      <c r="U32" s="44"/>
      <c r="V32" s="44"/>
      <c r="W32" s="44"/>
      <c r="X32" s="44"/>
      <c r="Y32" s="44"/>
      <c r="Z32" s="44"/>
      <c r="AA32" s="44"/>
      <c r="AB32" s="44"/>
      <c r="AC32" s="44"/>
      <c r="AD32" s="117"/>
      <c r="AE32" s="44"/>
      <c r="AF32" s="44"/>
      <c r="AG32" s="44"/>
      <c r="AH32" s="44"/>
      <c r="AI32" s="44"/>
      <c r="AJ32" s="44"/>
      <c r="AK32" s="44"/>
      <c r="AL32" s="44"/>
      <c r="AM32" s="44"/>
      <c r="AN32" s="117"/>
      <c r="AO32" s="44"/>
      <c r="AP32" s="44"/>
      <c r="AQ32" s="44"/>
      <c r="AR32" s="44"/>
      <c r="AS32" s="44"/>
      <c r="AT32" s="44"/>
      <c r="AU32" s="44"/>
      <c r="AV32" s="44"/>
      <c r="AW32" s="44"/>
      <c r="AX32" s="117"/>
      <c r="AY32" s="44"/>
      <c r="AZ32" s="44"/>
      <c r="BA32" s="44"/>
      <c r="BB32" s="44"/>
      <c r="BC32" s="44"/>
      <c r="BD32" s="44"/>
      <c r="BE32" s="44"/>
      <c r="BF32" s="44"/>
      <c r="BG32" s="44"/>
      <c r="BH32" s="117"/>
      <c r="BI32" s="44"/>
      <c r="BJ32" s="44"/>
      <c r="BK32" s="44"/>
      <c r="BL32" s="44"/>
      <c r="BM32" s="44"/>
      <c r="BN32" s="44"/>
      <c r="BO32" s="44"/>
      <c r="BP32" s="44"/>
      <c r="BQ32" s="44"/>
      <c r="BR32" s="117"/>
      <c r="BS32" s="44"/>
      <c r="BT32" s="44"/>
      <c r="BU32" s="44"/>
      <c r="BV32" s="44"/>
      <c r="BW32" s="44"/>
      <c r="BX32" s="44"/>
      <c r="BY32" s="44"/>
      <c r="BZ32" s="44"/>
      <c r="CA32" s="44"/>
      <c r="CB32" s="117"/>
      <c r="CC32" s="44"/>
      <c r="CD32" s="44"/>
      <c r="CE32" s="44"/>
      <c r="CF32" s="44"/>
      <c r="CG32" s="44"/>
      <c r="CH32" s="44"/>
      <c r="CI32" s="44"/>
      <c r="CJ32" s="44"/>
      <c r="CK32" s="44"/>
      <c r="CL32" s="117"/>
      <c r="CM32" s="44"/>
      <c r="CN32" s="44"/>
      <c r="CO32" s="44"/>
      <c r="CP32" s="44"/>
      <c r="CQ32" s="44"/>
      <c r="CR32" s="44"/>
      <c r="CS32" s="44"/>
      <c r="CT32" s="44"/>
      <c r="CU32" s="44"/>
      <c r="CV32" s="117"/>
      <c r="CW32" s="44"/>
      <c r="CX32" s="44"/>
      <c r="CY32" s="44"/>
      <c r="CZ32" s="44"/>
      <c r="DA32" s="44"/>
      <c r="DB32" s="44"/>
      <c r="DC32" s="44"/>
      <c r="DD32" s="44"/>
      <c r="DE32" s="44"/>
    </row>
    <row r="33" spans="1:109">
      <c r="A33" s="113"/>
      <c r="B33" s="117"/>
      <c r="C33" s="95"/>
      <c r="D33" s="58"/>
      <c r="E33" s="54"/>
      <c r="F33" s="54"/>
      <c r="G33" s="54"/>
      <c r="H33" s="49"/>
      <c r="I33" s="49"/>
      <c r="J33" s="117"/>
      <c r="K33" s="121"/>
      <c r="L33" s="49"/>
      <c r="M33" s="50"/>
      <c r="N33" s="49"/>
      <c r="O33" s="50"/>
      <c r="P33" s="50"/>
      <c r="Q33" s="51"/>
      <c r="R33" s="44"/>
      <c r="S33" s="44"/>
      <c r="T33" s="117"/>
      <c r="U33" s="44"/>
      <c r="V33" s="44"/>
      <c r="W33" s="44"/>
      <c r="X33" s="44"/>
      <c r="Y33" s="44"/>
      <c r="Z33" s="44"/>
      <c r="AA33" s="44"/>
      <c r="AB33" s="44"/>
      <c r="AC33" s="44"/>
      <c r="AD33" s="117"/>
      <c r="AE33" s="44"/>
      <c r="AF33" s="44"/>
      <c r="AG33" s="44"/>
      <c r="AH33" s="44"/>
      <c r="AI33" s="44"/>
      <c r="AJ33" s="44"/>
      <c r="AK33" s="44"/>
      <c r="AL33" s="44"/>
      <c r="AM33" s="44"/>
      <c r="AN33" s="117"/>
      <c r="AO33" s="44"/>
      <c r="AP33" s="44"/>
      <c r="AQ33" s="44"/>
      <c r="AR33" s="44"/>
      <c r="AS33" s="44"/>
      <c r="AT33" s="44"/>
      <c r="AU33" s="44"/>
      <c r="AV33" s="44"/>
      <c r="AW33" s="44"/>
      <c r="AX33" s="117"/>
      <c r="AY33" s="44"/>
      <c r="AZ33" s="44"/>
      <c r="BA33" s="44"/>
      <c r="BB33" s="44"/>
      <c r="BC33" s="44"/>
      <c r="BD33" s="44"/>
      <c r="BE33" s="44"/>
      <c r="BF33" s="44"/>
      <c r="BG33" s="44"/>
      <c r="BH33" s="117"/>
      <c r="BI33" s="44"/>
      <c r="BJ33" s="44"/>
      <c r="BK33" s="44"/>
      <c r="BL33" s="44"/>
      <c r="BM33" s="44"/>
      <c r="BN33" s="44"/>
      <c r="BO33" s="44"/>
      <c r="BP33" s="44"/>
      <c r="BQ33" s="44"/>
      <c r="BR33" s="117"/>
      <c r="BS33" s="44"/>
      <c r="BT33" s="44"/>
      <c r="BU33" s="44"/>
      <c r="BV33" s="44"/>
      <c r="BW33" s="44"/>
      <c r="BX33" s="44"/>
      <c r="BY33" s="44"/>
      <c r="BZ33" s="44"/>
      <c r="CA33" s="44"/>
      <c r="CB33" s="117"/>
      <c r="CC33" s="44"/>
      <c r="CD33" s="44"/>
      <c r="CE33" s="44"/>
      <c r="CF33" s="44"/>
      <c r="CG33" s="44"/>
      <c r="CH33" s="44"/>
      <c r="CI33" s="44"/>
      <c r="CJ33" s="44"/>
      <c r="CK33" s="44"/>
      <c r="CL33" s="117"/>
      <c r="CM33" s="44"/>
      <c r="CN33" s="44"/>
      <c r="CO33" s="44"/>
      <c r="CP33" s="44"/>
      <c r="CQ33" s="44"/>
      <c r="CR33" s="44"/>
      <c r="CS33" s="44"/>
      <c r="CT33" s="44"/>
      <c r="CU33" s="44"/>
      <c r="CV33" s="117"/>
      <c r="CW33" s="44"/>
      <c r="CX33" s="44"/>
      <c r="CY33" s="44"/>
      <c r="CZ33" s="44"/>
      <c r="DA33" s="44"/>
      <c r="DB33" s="44"/>
      <c r="DC33" s="44"/>
      <c r="DD33" s="44"/>
      <c r="DE33" s="44"/>
    </row>
    <row r="34" spans="1:109">
      <c r="A34" s="113"/>
      <c r="B34" s="117"/>
      <c r="C34" s="95"/>
      <c r="D34" s="58"/>
      <c r="E34" s="54"/>
      <c r="F34" s="54"/>
      <c r="G34" s="54"/>
      <c r="H34" s="49"/>
      <c r="I34" s="49"/>
      <c r="J34" s="117"/>
      <c r="K34" s="121"/>
      <c r="L34" s="49"/>
      <c r="M34" s="50"/>
      <c r="N34" s="49"/>
      <c r="O34" s="50"/>
      <c r="P34" s="50"/>
      <c r="Q34" s="51"/>
      <c r="R34" s="44"/>
      <c r="S34" s="44"/>
      <c r="T34" s="117"/>
      <c r="U34" s="44"/>
      <c r="V34" s="44"/>
      <c r="W34" s="44"/>
      <c r="X34" s="44"/>
      <c r="Y34" s="44"/>
      <c r="Z34" s="44"/>
      <c r="AA34" s="44"/>
      <c r="AB34" s="44"/>
      <c r="AC34" s="44"/>
      <c r="AD34" s="117"/>
      <c r="AE34" s="44"/>
      <c r="AF34" s="44"/>
      <c r="AG34" s="44"/>
      <c r="AH34" s="44"/>
      <c r="AI34" s="44"/>
      <c r="AJ34" s="44"/>
      <c r="AK34" s="44"/>
      <c r="AL34" s="44"/>
      <c r="AM34" s="44"/>
      <c r="AN34" s="117"/>
      <c r="AO34" s="44"/>
      <c r="AP34" s="44"/>
      <c r="AQ34" s="44"/>
      <c r="AR34" s="44"/>
      <c r="AS34" s="44"/>
      <c r="AT34" s="44"/>
      <c r="AU34" s="44"/>
      <c r="AV34" s="44"/>
      <c r="AW34" s="44"/>
      <c r="AX34" s="117"/>
      <c r="AY34" s="44"/>
      <c r="AZ34" s="44"/>
      <c r="BA34" s="44"/>
      <c r="BB34" s="44"/>
      <c r="BC34" s="44"/>
      <c r="BD34" s="44"/>
      <c r="BE34" s="44"/>
      <c r="BF34" s="44"/>
      <c r="BG34" s="44"/>
      <c r="BH34" s="117"/>
      <c r="BI34" s="44"/>
      <c r="BJ34" s="44"/>
      <c r="BK34" s="44"/>
      <c r="BL34" s="44"/>
      <c r="BM34" s="44"/>
      <c r="BN34" s="44"/>
      <c r="BO34" s="44"/>
      <c r="BP34" s="44"/>
      <c r="BQ34" s="44"/>
      <c r="BR34" s="117"/>
      <c r="BS34" s="44"/>
      <c r="BT34" s="44"/>
      <c r="BU34" s="44"/>
      <c r="BV34" s="44"/>
      <c r="BW34" s="44"/>
      <c r="BX34" s="44"/>
      <c r="BY34" s="44"/>
      <c r="BZ34" s="44"/>
      <c r="CA34" s="44"/>
      <c r="CB34" s="117"/>
      <c r="CC34" s="44"/>
      <c r="CD34" s="44"/>
      <c r="CE34" s="44"/>
      <c r="CF34" s="44"/>
      <c r="CG34" s="44"/>
      <c r="CH34" s="44"/>
      <c r="CI34" s="44"/>
      <c r="CJ34" s="44"/>
      <c r="CK34" s="44"/>
      <c r="CL34" s="117"/>
      <c r="CM34" s="44"/>
      <c r="CN34" s="44"/>
      <c r="CO34" s="44"/>
      <c r="CP34" s="44"/>
      <c r="CQ34" s="44"/>
      <c r="CR34" s="44"/>
      <c r="CS34" s="44"/>
      <c r="CT34" s="44"/>
      <c r="CU34" s="44"/>
      <c r="CV34" s="117"/>
      <c r="CW34" s="44"/>
      <c r="CX34" s="44"/>
      <c r="CY34" s="44"/>
      <c r="CZ34" s="44"/>
      <c r="DA34" s="44"/>
      <c r="DB34" s="44"/>
      <c r="DC34" s="44"/>
      <c r="DD34" s="44"/>
      <c r="DE34" s="44"/>
    </row>
    <row r="35" spans="1:109">
      <c r="A35" s="113"/>
      <c r="B35" s="117"/>
      <c r="C35" s="95"/>
      <c r="D35" s="58"/>
      <c r="E35" s="54"/>
      <c r="F35" s="54"/>
      <c r="G35" s="54"/>
      <c r="H35" s="49"/>
      <c r="I35" s="49"/>
      <c r="J35" s="117"/>
      <c r="K35" s="121"/>
      <c r="L35" s="49"/>
      <c r="M35" s="50"/>
      <c r="N35" s="49"/>
      <c r="O35" s="50"/>
      <c r="P35" s="50"/>
      <c r="Q35" s="51"/>
      <c r="R35" s="44"/>
      <c r="S35" s="44"/>
      <c r="T35" s="117"/>
      <c r="U35" s="44"/>
      <c r="V35" s="44"/>
      <c r="W35" s="44"/>
      <c r="X35" s="44"/>
      <c r="Y35" s="44"/>
      <c r="Z35" s="44"/>
      <c r="AA35" s="44"/>
      <c r="AB35" s="44"/>
      <c r="AC35" s="44"/>
      <c r="AD35" s="117"/>
      <c r="AE35" s="44"/>
      <c r="AF35" s="44"/>
      <c r="AG35" s="44"/>
      <c r="AH35" s="44"/>
      <c r="AI35" s="44"/>
      <c r="AJ35" s="44"/>
      <c r="AK35" s="44"/>
      <c r="AL35" s="44"/>
      <c r="AM35" s="44"/>
      <c r="AN35" s="117"/>
      <c r="AO35" s="44"/>
      <c r="AP35" s="44"/>
      <c r="AQ35" s="44"/>
      <c r="AR35" s="44"/>
      <c r="AS35" s="44"/>
      <c r="AT35" s="44"/>
      <c r="AU35" s="44"/>
      <c r="AV35" s="44"/>
      <c r="AW35" s="44"/>
      <c r="AX35" s="117"/>
      <c r="AY35" s="44"/>
      <c r="AZ35" s="44"/>
      <c r="BA35" s="44"/>
      <c r="BB35" s="44"/>
      <c r="BC35" s="44"/>
      <c r="BD35" s="44"/>
      <c r="BE35" s="44"/>
      <c r="BF35" s="44"/>
      <c r="BG35" s="44"/>
      <c r="BH35" s="117"/>
      <c r="BI35" s="44"/>
      <c r="BJ35" s="44"/>
      <c r="BK35" s="44"/>
      <c r="BL35" s="44"/>
      <c r="BM35" s="44"/>
      <c r="BN35" s="44"/>
      <c r="BO35" s="44"/>
      <c r="BP35" s="44"/>
      <c r="BQ35" s="44"/>
      <c r="BR35" s="117"/>
      <c r="BS35" s="44"/>
      <c r="BT35" s="44"/>
      <c r="BU35" s="44"/>
      <c r="BV35" s="44"/>
      <c r="BW35" s="44"/>
      <c r="BX35" s="44"/>
      <c r="BY35" s="44"/>
      <c r="BZ35" s="44"/>
      <c r="CA35" s="44"/>
      <c r="CB35" s="117"/>
      <c r="CC35" s="44"/>
      <c r="CD35" s="44"/>
      <c r="CE35" s="44"/>
      <c r="CF35" s="44"/>
      <c r="CG35" s="44"/>
      <c r="CH35" s="44"/>
      <c r="CI35" s="44"/>
      <c r="CJ35" s="44"/>
      <c r="CK35" s="44"/>
      <c r="CL35" s="117"/>
      <c r="CM35" s="44"/>
      <c r="CN35" s="44"/>
      <c r="CO35" s="44"/>
      <c r="CP35" s="44"/>
      <c r="CQ35" s="44"/>
      <c r="CR35" s="44"/>
      <c r="CS35" s="44"/>
      <c r="CT35" s="44"/>
      <c r="CU35" s="44"/>
      <c r="CV35" s="117"/>
      <c r="CW35" s="44"/>
      <c r="CX35" s="44"/>
      <c r="CY35" s="44"/>
      <c r="CZ35" s="44"/>
      <c r="DA35" s="44"/>
      <c r="DB35" s="44"/>
      <c r="DC35" s="44"/>
      <c r="DD35" s="44"/>
      <c r="DE35" s="44"/>
    </row>
    <row r="36" spans="1:109">
      <c r="A36" s="113"/>
      <c r="B36" s="117"/>
      <c r="C36" s="95"/>
      <c r="D36" s="58"/>
      <c r="E36" s="54"/>
      <c r="F36" s="54"/>
      <c r="G36" s="54"/>
      <c r="H36" s="49"/>
      <c r="I36" s="49"/>
      <c r="J36" s="117"/>
      <c r="K36" s="121"/>
      <c r="L36" s="49"/>
      <c r="M36" s="50"/>
      <c r="N36" s="49"/>
      <c r="O36" s="50"/>
      <c r="P36" s="50"/>
      <c r="Q36" s="51"/>
      <c r="R36" s="44"/>
      <c r="S36" s="44"/>
      <c r="T36" s="117"/>
      <c r="U36" s="44"/>
      <c r="V36" s="44"/>
      <c r="W36" s="44"/>
      <c r="X36" s="44"/>
      <c r="Y36" s="44"/>
      <c r="Z36" s="44"/>
      <c r="AA36" s="44"/>
      <c r="AB36" s="44"/>
      <c r="AC36" s="44"/>
      <c r="AD36" s="117"/>
      <c r="AE36" s="44"/>
      <c r="AF36" s="44"/>
      <c r="AG36" s="44"/>
      <c r="AH36" s="44"/>
      <c r="AI36" s="44"/>
      <c r="AJ36" s="44"/>
      <c r="AK36" s="44"/>
      <c r="AL36" s="44"/>
      <c r="AM36" s="44"/>
      <c r="AN36" s="117"/>
      <c r="AO36" s="44"/>
      <c r="AP36" s="44"/>
      <c r="AQ36" s="44"/>
      <c r="AR36" s="44"/>
      <c r="AS36" s="44"/>
      <c r="AT36" s="44"/>
      <c r="AU36" s="44"/>
      <c r="AV36" s="44"/>
      <c r="AW36" s="44"/>
      <c r="AX36" s="117"/>
      <c r="AY36" s="44"/>
      <c r="AZ36" s="44"/>
      <c r="BA36" s="44"/>
      <c r="BB36" s="44"/>
      <c r="BC36" s="44"/>
      <c r="BD36" s="44"/>
      <c r="BE36" s="44"/>
      <c r="BF36" s="44"/>
      <c r="BG36" s="44"/>
      <c r="BH36" s="117"/>
      <c r="BI36" s="44"/>
      <c r="BJ36" s="44"/>
      <c r="BK36" s="44"/>
      <c r="BL36" s="44"/>
      <c r="BM36" s="44"/>
      <c r="BN36" s="44"/>
      <c r="BO36" s="44"/>
      <c r="BP36" s="44"/>
      <c r="BQ36" s="44"/>
      <c r="BR36" s="117"/>
      <c r="BS36" s="44"/>
      <c r="BT36" s="44"/>
      <c r="BU36" s="44"/>
      <c r="BV36" s="44"/>
      <c r="BW36" s="44"/>
      <c r="BX36" s="44"/>
      <c r="BY36" s="44"/>
      <c r="BZ36" s="44"/>
      <c r="CA36" s="44"/>
      <c r="CB36" s="117"/>
      <c r="CC36" s="44"/>
      <c r="CD36" s="44"/>
      <c r="CE36" s="44"/>
      <c r="CF36" s="44"/>
      <c r="CG36" s="44"/>
      <c r="CH36" s="44"/>
      <c r="CI36" s="44"/>
      <c r="CJ36" s="44"/>
      <c r="CK36" s="44"/>
      <c r="CL36" s="117"/>
      <c r="CM36" s="44"/>
      <c r="CN36" s="44"/>
      <c r="CO36" s="44"/>
      <c r="CP36" s="44"/>
      <c r="CQ36" s="44"/>
      <c r="CR36" s="44"/>
      <c r="CS36" s="44"/>
      <c r="CT36" s="44"/>
      <c r="CU36" s="44"/>
      <c r="CV36" s="117"/>
      <c r="CW36" s="44"/>
      <c r="CX36" s="44"/>
      <c r="CY36" s="44"/>
      <c r="CZ36" s="44"/>
      <c r="DA36" s="44"/>
      <c r="DB36" s="44"/>
      <c r="DC36" s="44"/>
      <c r="DD36" s="44"/>
      <c r="DE36" s="44"/>
    </row>
    <row r="37" spans="1:109">
      <c r="A37" s="113"/>
      <c r="B37" s="117"/>
      <c r="C37" s="95"/>
      <c r="D37" s="58"/>
      <c r="E37" s="54"/>
      <c r="F37" s="54"/>
      <c r="G37" s="54"/>
      <c r="H37" s="49"/>
      <c r="I37" s="49"/>
      <c r="J37" s="117"/>
      <c r="K37" s="121"/>
      <c r="L37" s="49"/>
      <c r="M37" s="50"/>
      <c r="N37" s="49"/>
      <c r="O37" s="50"/>
      <c r="P37" s="50"/>
      <c r="Q37" s="51"/>
      <c r="R37" s="44"/>
      <c r="S37" s="44"/>
      <c r="T37" s="117"/>
      <c r="U37" s="44"/>
      <c r="V37" s="44"/>
      <c r="W37" s="44"/>
      <c r="X37" s="44"/>
      <c r="Y37" s="44"/>
      <c r="Z37" s="44"/>
      <c r="AA37" s="44"/>
      <c r="AB37" s="44"/>
      <c r="AC37" s="44"/>
      <c r="AD37" s="117"/>
      <c r="AE37" s="44"/>
      <c r="AF37" s="44"/>
      <c r="AG37" s="44"/>
      <c r="AH37" s="44"/>
      <c r="AI37" s="44"/>
      <c r="AJ37" s="44"/>
      <c r="AK37" s="44"/>
      <c r="AL37" s="44"/>
      <c r="AM37" s="44"/>
      <c r="AN37" s="117"/>
      <c r="AO37" s="44"/>
      <c r="AP37" s="44"/>
      <c r="AQ37" s="44"/>
      <c r="AR37" s="44"/>
      <c r="AS37" s="44"/>
      <c r="AT37" s="44"/>
      <c r="AU37" s="44"/>
      <c r="AV37" s="44"/>
      <c r="AW37" s="44"/>
      <c r="AX37" s="117"/>
      <c r="AY37" s="44"/>
      <c r="AZ37" s="44"/>
      <c r="BA37" s="44"/>
      <c r="BB37" s="44"/>
      <c r="BC37" s="44"/>
      <c r="BD37" s="44"/>
      <c r="BE37" s="44"/>
      <c r="BF37" s="44"/>
      <c r="BG37" s="44"/>
      <c r="BH37" s="117"/>
      <c r="BI37" s="44"/>
      <c r="BJ37" s="44"/>
      <c r="BK37" s="44"/>
      <c r="BL37" s="44"/>
      <c r="BM37" s="44"/>
      <c r="BN37" s="44"/>
      <c r="BO37" s="44"/>
      <c r="BP37" s="44"/>
      <c r="BQ37" s="44"/>
      <c r="BR37" s="117"/>
      <c r="BS37" s="44"/>
      <c r="BT37" s="44"/>
      <c r="BU37" s="44"/>
      <c r="BV37" s="44"/>
      <c r="BW37" s="44"/>
      <c r="BX37" s="44"/>
      <c r="BY37" s="44"/>
      <c r="BZ37" s="44"/>
      <c r="CA37" s="44"/>
      <c r="CB37" s="117"/>
      <c r="CC37" s="44"/>
      <c r="CD37" s="44"/>
      <c r="CE37" s="44"/>
      <c r="CF37" s="44"/>
      <c r="CG37" s="44"/>
      <c r="CH37" s="44"/>
      <c r="CI37" s="44"/>
      <c r="CJ37" s="44"/>
      <c r="CK37" s="44"/>
      <c r="CL37" s="117"/>
      <c r="CM37" s="44"/>
      <c r="CN37" s="44"/>
      <c r="CO37" s="44"/>
      <c r="CP37" s="44"/>
      <c r="CQ37" s="44"/>
      <c r="CR37" s="44"/>
      <c r="CS37" s="44"/>
      <c r="CT37" s="44"/>
      <c r="CU37" s="44"/>
      <c r="CV37" s="117"/>
      <c r="CW37" s="44"/>
      <c r="CX37" s="44"/>
      <c r="CY37" s="44"/>
      <c r="CZ37" s="44"/>
      <c r="DA37" s="44"/>
      <c r="DB37" s="44"/>
      <c r="DC37" s="44"/>
      <c r="DD37" s="44"/>
      <c r="DE37" s="44"/>
    </row>
    <row r="38" spans="1:109">
      <c r="A38" s="113"/>
      <c r="B38" s="117"/>
      <c r="C38" s="95"/>
      <c r="D38" s="58"/>
      <c r="E38" s="54"/>
      <c r="F38" s="54"/>
      <c r="G38" s="54"/>
      <c r="H38" s="49"/>
      <c r="I38" s="49"/>
      <c r="J38" s="117"/>
      <c r="K38" s="121"/>
      <c r="L38" s="49"/>
      <c r="M38" s="50"/>
      <c r="N38" s="49"/>
      <c r="O38" s="50"/>
      <c r="P38" s="50"/>
      <c r="Q38" s="51"/>
      <c r="R38" s="44"/>
      <c r="S38" s="44"/>
      <c r="T38" s="117"/>
      <c r="U38" s="44"/>
      <c r="V38" s="44"/>
      <c r="W38" s="44"/>
      <c r="X38" s="44"/>
      <c r="Y38" s="44"/>
      <c r="Z38" s="44"/>
      <c r="AA38" s="44"/>
      <c r="AB38" s="44"/>
      <c r="AC38" s="44"/>
      <c r="AD38" s="117"/>
      <c r="AE38" s="44"/>
      <c r="AF38" s="44"/>
      <c r="AG38" s="44"/>
      <c r="AH38" s="44"/>
      <c r="AI38" s="44"/>
      <c r="AJ38" s="44"/>
      <c r="AK38" s="44"/>
      <c r="AL38" s="44"/>
      <c r="AM38" s="44"/>
      <c r="AN38" s="117"/>
      <c r="AO38" s="44"/>
      <c r="AP38" s="44"/>
      <c r="AQ38" s="44"/>
      <c r="AR38" s="44"/>
      <c r="AS38" s="44"/>
      <c r="AT38" s="44"/>
      <c r="AU38" s="44"/>
      <c r="AV38" s="44"/>
      <c r="AW38" s="44"/>
      <c r="AX38" s="117"/>
      <c r="AY38" s="44"/>
      <c r="AZ38" s="44"/>
      <c r="BA38" s="44"/>
      <c r="BB38" s="44"/>
      <c r="BC38" s="44"/>
      <c r="BD38" s="44"/>
      <c r="BE38" s="44"/>
      <c r="BF38" s="44"/>
      <c r="BG38" s="44"/>
      <c r="BH38" s="117"/>
      <c r="BI38" s="44"/>
      <c r="BJ38" s="44"/>
      <c r="BK38" s="44"/>
      <c r="BL38" s="44"/>
      <c r="BM38" s="44"/>
      <c r="BN38" s="44"/>
      <c r="BO38" s="44"/>
      <c r="BP38" s="44"/>
      <c r="BQ38" s="44"/>
      <c r="BR38" s="117"/>
      <c r="BS38" s="44"/>
      <c r="BT38" s="44"/>
      <c r="BU38" s="44"/>
      <c r="BV38" s="44"/>
      <c r="BW38" s="44"/>
      <c r="BX38" s="44"/>
      <c r="BY38" s="44"/>
      <c r="BZ38" s="44"/>
      <c r="CA38" s="44"/>
      <c r="CB38" s="117"/>
      <c r="CC38" s="44"/>
      <c r="CD38" s="44"/>
      <c r="CE38" s="44"/>
      <c r="CF38" s="44"/>
      <c r="CG38" s="44"/>
      <c r="CH38" s="44"/>
      <c r="CI38" s="44"/>
      <c r="CJ38" s="44"/>
      <c r="CK38" s="44"/>
      <c r="CL38" s="117"/>
      <c r="CM38" s="44"/>
      <c r="CN38" s="44"/>
      <c r="CO38" s="44"/>
      <c r="CP38" s="44"/>
      <c r="CQ38" s="44"/>
      <c r="CR38" s="44"/>
      <c r="CS38" s="44"/>
      <c r="CT38" s="44"/>
      <c r="CU38" s="44"/>
      <c r="CV38" s="117"/>
      <c r="CW38" s="44"/>
      <c r="CX38" s="44"/>
      <c r="CY38" s="44"/>
      <c r="CZ38" s="44"/>
      <c r="DA38" s="44"/>
      <c r="DB38" s="44"/>
      <c r="DC38" s="44"/>
      <c r="DD38" s="44"/>
      <c r="DE38" s="44"/>
    </row>
    <row r="39" spans="1:109">
      <c r="A39" s="113"/>
      <c r="B39" s="117"/>
      <c r="C39" s="95"/>
      <c r="D39" s="58"/>
      <c r="E39" s="54"/>
      <c r="F39" s="54"/>
      <c r="G39" s="54"/>
      <c r="H39" s="49"/>
      <c r="I39" s="49"/>
      <c r="J39" s="117"/>
      <c r="K39" s="121"/>
      <c r="L39" s="49"/>
      <c r="M39" s="50"/>
      <c r="N39" s="49"/>
      <c r="O39" s="50"/>
      <c r="P39" s="50"/>
      <c r="Q39" s="51"/>
      <c r="R39" s="50"/>
      <c r="S39" s="50"/>
      <c r="T39" s="117"/>
      <c r="U39" s="50"/>
      <c r="V39" s="50"/>
      <c r="W39" s="50"/>
      <c r="X39" s="50"/>
      <c r="Y39" s="50"/>
      <c r="Z39" s="50"/>
      <c r="AA39" s="50"/>
      <c r="AB39" s="50"/>
      <c r="AC39" s="50"/>
      <c r="AD39" s="117"/>
      <c r="AE39" s="50"/>
      <c r="AF39" s="50"/>
      <c r="AG39" s="50"/>
      <c r="AH39" s="50"/>
      <c r="AI39" s="50"/>
      <c r="AJ39" s="50"/>
      <c r="AK39" s="50"/>
      <c r="AL39" s="50"/>
      <c r="AM39" s="50"/>
      <c r="AN39" s="117"/>
      <c r="AO39" s="50"/>
      <c r="AP39" s="50"/>
      <c r="AQ39" s="50"/>
      <c r="AR39" s="50"/>
      <c r="AS39" s="50"/>
      <c r="AT39" s="50"/>
      <c r="AU39" s="50"/>
      <c r="AV39" s="50"/>
      <c r="AW39" s="50"/>
      <c r="AX39" s="117"/>
      <c r="AY39" s="50"/>
      <c r="AZ39" s="50"/>
      <c r="BA39" s="50"/>
      <c r="BB39" s="50"/>
      <c r="BC39" s="50"/>
      <c r="BD39" s="50"/>
      <c r="BE39" s="50"/>
      <c r="BF39" s="50"/>
      <c r="BG39" s="50"/>
      <c r="BH39" s="117"/>
      <c r="BI39" s="50"/>
      <c r="BJ39" s="50"/>
      <c r="BK39" s="50"/>
      <c r="BL39" s="50"/>
      <c r="BM39" s="50"/>
      <c r="BN39" s="50"/>
      <c r="BO39" s="50"/>
      <c r="BP39" s="50"/>
      <c r="BQ39" s="50"/>
      <c r="BR39" s="117"/>
      <c r="BS39" s="50"/>
      <c r="BT39" s="50"/>
      <c r="BU39" s="50"/>
      <c r="BV39" s="50"/>
      <c r="BW39" s="50"/>
      <c r="BX39" s="50"/>
      <c r="BY39" s="50"/>
      <c r="BZ39" s="50"/>
      <c r="CA39" s="50"/>
      <c r="CB39" s="117"/>
      <c r="CC39" s="50"/>
      <c r="CD39" s="50"/>
      <c r="CE39" s="50"/>
      <c r="CF39" s="50"/>
      <c r="CG39" s="50"/>
      <c r="CH39" s="50"/>
      <c r="CI39" s="50"/>
      <c r="CJ39" s="50"/>
      <c r="CK39" s="50"/>
      <c r="CL39" s="117"/>
      <c r="CM39" s="50"/>
      <c r="CN39" s="50"/>
      <c r="CO39" s="50"/>
      <c r="CP39" s="50"/>
      <c r="CQ39" s="50"/>
      <c r="CR39" s="50"/>
      <c r="CS39" s="50"/>
      <c r="CT39" s="50"/>
      <c r="CU39" s="50"/>
      <c r="CV39" s="117"/>
      <c r="CW39" s="50"/>
      <c r="CX39" s="50"/>
      <c r="CY39" s="50"/>
      <c r="CZ39" s="50"/>
      <c r="DA39" s="50"/>
      <c r="DB39" s="50"/>
      <c r="DC39" s="50"/>
      <c r="DD39" s="50"/>
      <c r="DE39" s="50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381DC-C288-DF46-9FBE-7AF15FB82EA1}">
  <sheetPr codeName="Sheet10"/>
  <dimension ref="A1:R81"/>
  <sheetViews>
    <sheetView zoomScaleNormal="100" workbookViewId="0">
      <pane ySplit="1" topLeftCell="A2" activePane="bottomLeft" state="frozen"/>
      <selection pane="bottomLeft" activeCell="C45" sqref="C45"/>
    </sheetView>
  </sheetViews>
  <sheetFormatPr baseColWidth="10" defaultRowHeight="13"/>
  <cols>
    <col min="1" max="1" width="10.1640625" style="117" bestFit="1" customWidth="1"/>
    <col min="2" max="2" width="14.33203125" style="112" bestFit="1" customWidth="1"/>
    <col min="3" max="3" width="9" style="94" bestFit="1" customWidth="1"/>
    <col min="4" max="4" width="5.33203125" style="57" bestFit="1" customWidth="1"/>
    <col min="5" max="5" width="6" style="53" bestFit="1" customWidth="1"/>
    <col min="6" max="7" width="3.6640625" style="53" bestFit="1" customWidth="1"/>
    <col min="8" max="8" width="13.6640625" style="42" bestFit="1" customWidth="1"/>
    <col min="9" max="9" width="10.5" style="120" bestFit="1" customWidth="1"/>
    <col min="10" max="10" width="12" style="42" bestFit="1" customWidth="1"/>
    <col min="11" max="11" width="6.33203125" style="44" bestFit="1" customWidth="1"/>
    <col min="12" max="12" width="5.33203125" style="42" bestFit="1" customWidth="1"/>
    <col min="13" max="13" width="9.5" style="44" bestFit="1" customWidth="1"/>
    <col min="14" max="14" width="12" style="44" bestFit="1" customWidth="1"/>
    <col min="15" max="15" width="11" style="44" bestFit="1" customWidth="1"/>
    <col min="16" max="16" width="11.6640625" style="127" bestFit="1" customWidth="1"/>
    <col min="17" max="17" width="7.33203125" style="127" bestFit="1" customWidth="1"/>
    <col min="18" max="16384" width="10.83203125" style="127"/>
  </cols>
  <sheetData>
    <row r="1" spans="1:18" s="46" customFormat="1" ht="15">
      <c r="A1" s="125" t="s">
        <v>187</v>
      </c>
      <c r="B1" s="124" t="s">
        <v>188</v>
      </c>
      <c r="C1" s="93" t="s">
        <v>65</v>
      </c>
      <c r="D1" s="56" t="s">
        <v>76</v>
      </c>
      <c r="E1" s="52" t="s">
        <v>189</v>
      </c>
      <c r="F1" s="52" t="s">
        <v>77</v>
      </c>
      <c r="G1" s="52" t="s">
        <v>190</v>
      </c>
      <c r="H1" s="46" t="s">
        <v>0</v>
      </c>
      <c r="I1" s="46" t="s">
        <v>55</v>
      </c>
      <c r="J1" s="87" t="s">
        <v>58</v>
      </c>
      <c r="K1" s="88" t="s">
        <v>59</v>
      </c>
      <c r="L1" s="89" t="s">
        <v>60</v>
      </c>
      <c r="M1" s="88" t="s">
        <v>61</v>
      </c>
      <c r="N1" s="88" t="s">
        <v>62</v>
      </c>
      <c r="O1" s="88" t="s">
        <v>63</v>
      </c>
      <c r="P1" s="63" t="s">
        <v>170</v>
      </c>
      <c r="Q1" s="126" t="s">
        <v>15</v>
      </c>
      <c r="R1" s="128"/>
    </row>
    <row r="2" spans="1:18">
      <c r="B2" s="113"/>
      <c r="C2" s="95"/>
      <c r="D2" s="58"/>
      <c r="E2" s="54"/>
      <c r="F2" s="54"/>
      <c r="G2" s="54"/>
      <c r="H2" s="49"/>
      <c r="I2" s="121"/>
      <c r="J2" s="49"/>
      <c r="K2" s="50"/>
      <c r="L2" s="49"/>
      <c r="M2" s="50"/>
      <c r="N2" s="50"/>
      <c r="O2" s="51"/>
      <c r="P2" s="50"/>
      <c r="Q2" s="50"/>
    </row>
    <row r="3" spans="1:18">
      <c r="B3" s="113"/>
      <c r="C3" s="95"/>
      <c r="D3" s="58"/>
      <c r="E3" s="54"/>
      <c r="F3" s="54"/>
      <c r="G3" s="54"/>
      <c r="H3" s="49"/>
      <c r="I3" s="121"/>
      <c r="J3" s="49"/>
      <c r="K3" s="50"/>
      <c r="L3" s="49"/>
      <c r="M3" s="50"/>
      <c r="N3" s="50"/>
      <c r="O3" s="51"/>
      <c r="P3" s="50"/>
      <c r="Q3" s="50"/>
    </row>
    <row r="4" spans="1:18">
      <c r="B4" s="113"/>
      <c r="C4" s="95"/>
      <c r="D4" s="58"/>
      <c r="E4" s="54"/>
      <c r="F4" s="54"/>
      <c r="G4" s="54"/>
      <c r="H4" s="49"/>
      <c r="I4" s="121"/>
      <c r="J4" s="49"/>
      <c r="K4" s="50"/>
      <c r="L4" s="49"/>
      <c r="M4" s="50"/>
      <c r="N4" s="50"/>
      <c r="O4" s="51"/>
      <c r="P4" s="50"/>
      <c r="Q4" s="50"/>
    </row>
    <row r="5" spans="1:18">
      <c r="B5" s="113"/>
      <c r="C5" s="95"/>
      <c r="D5" s="58"/>
      <c r="E5" s="54"/>
      <c r="F5" s="54"/>
      <c r="G5" s="54"/>
      <c r="H5" s="49"/>
      <c r="I5" s="121"/>
      <c r="J5" s="49"/>
      <c r="K5" s="50"/>
      <c r="L5" s="49"/>
      <c r="M5" s="50"/>
      <c r="N5" s="50"/>
      <c r="O5" s="51"/>
      <c r="P5" s="50"/>
      <c r="Q5" s="50"/>
    </row>
    <row r="6" spans="1:18" ht="15">
      <c r="A6" s="129"/>
      <c r="B6" s="113"/>
      <c r="C6" s="95"/>
      <c r="D6" s="58"/>
      <c r="E6" s="130"/>
      <c r="F6" s="130"/>
      <c r="G6" s="130"/>
      <c r="H6" s="49"/>
      <c r="I6" s="121"/>
      <c r="J6" s="131"/>
      <c r="K6" s="132"/>
      <c r="L6" s="133"/>
      <c r="M6" s="132"/>
      <c r="N6" s="132"/>
      <c r="O6" s="134"/>
      <c r="P6" s="135"/>
      <c r="Q6" s="135"/>
    </row>
    <row r="7" spans="1:18" ht="15">
      <c r="A7" s="129"/>
      <c r="B7" s="113"/>
      <c r="C7" s="95"/>
      <c r="D7" s="58"/>
      <c r="E7" s="130"/>
      <c r="F7" s="130"/>
      <c r="G7" s="130"/>
      <c r="H7" s="49"/>
      <c r="I7" s="121"/>
      <c r="J7" s="131"/>
      <c r="K7" s="132"/>
      <c r="L7" s="133"/>
      <c r="M7" s="132"/>
      <c r="N7" s="132"/>
      <c r="O7" s="134"/>
      <c r="P7" s="135"/>
      <c r="Q7" s="135"/>
    </row>
    <row r="8" spans="1:18" ht="15">
      <c r="A8" s="129"/>
      <c r="B8" s="113"/>
      <c r="C8" s="95"/>
      <c r="D8" s="58"/>
      <c r="E8" s="130"/>
      <c r="F8" s="130"/>
      <c r="G8" s="130"/>
      <c r="H8" s="49"/>
      <c r="I8" s="121"/>
      <c r="J8" s="131"/>
      <c r="K8" s="132"/>
      <c r="L8" s="133"/>
      <c r="M8" s="132"/>
      <c r="N8" s="132"/>
      <c r="O8" s="134"/>
      <c r="P8" s="135"/>
      <c r="Q8" s="135"/>
    </row>
    <row r="9" spans="1:18" ht="15">
      <c r="A9" s="129"/>
      <c r="B9" s="113"/>
      <c r="C9" s="95"/>
      <c r="D9" s="58"/>
      <c r="E9" s="130"/>
      <c r="F9" s="130"/>
      <c r="G9" s="130"/>
      <c r="H9" s="49"/>
      <c r="I9" s="121"/>
      <c r="J9" s="131"/>
      <c r="K9" s="132"/>
      <c r="L9" s="133"/>
      <c r="M9" s="132"/>
      <c r="N9" s="132"/>
      <c r="O9" s="134"/>
      <c r="P9" s="135"/>
      <c r="Q9" s="135"/>
    </row>
    <row r="10" spans="1:18" ht="15">
      <c r="A10" s="129"/>
      <c r="B10" s="113"/>
      <c r="C10" s="95"/>
      <c r="D10" s="58"/>
      <c r="E10" s="130"/>
      <c r="F10" s="130"/>
      <c r="G10" s="130"/>
      <c r="H10" s="49"/>
      <c r="I10" s="121"/>
      <c r="J10" s="131"/>
      <c r="K10" s="132"/>
      <c r="L10" s="133"/>
      <c r="M10" s="132"/>
      <c r="N10" s="132"/>
      <c r="O10" s="134"/>
      <c r="P10" s="135"/>
      <c r="Q10" s="135"/>
    </row>
    <row r="11" spans="1:18" ht="15">
      <c r="A11" s="129"/>
      <c r="B11" s="113"/>
      <c r="C11" s="95"/>
      <c r="D11" s="58"/>
      <c r="E11" s="130"/>
      <c r="F11" s="130"/>
      <c r="G11" s="130"/>
      <c r="H11" s="49"/>
      <c r="I11" s="121"/>
      <c r="J11" s="131"/>
      <c r="K11" s="132"/>
      <c r="L11" s="133"/>
      <c r="M11" s="132"/>
      <c r="N11" s="132"/>
      <c r="O11" s="134"/>
      <c r="P11" s="135"/>
      <c r="Q11" s="135"/>
    </row>
    <row r="12" spans="1:18" ht="15">
      <c r="A12" s="129"/>
      <c r="B12" s="113"/>
      <c r="C12" s="95"/>
      <c r="D12" s="58"/>
      <c r="E12" s="130"/>
      <c r="F12" s="130"/>
      <c r="G12" s="130"/>
      <c r="H12" s="49"/>
      <c r="I12" s="121"/>
      <c r="J12" s="131"/>
      <c r="K12" s="132"/>
      <c r="L12" s="133"/>
      <c r="M12" s="132"/>
      <c r="N12" s="132"/>
      <c r="O12" s="134"/>
      <c r="P12" s="135"/>
      <c r="Q12" s="135"/>
    </row>
    <row r="13" spans="1:18" ht="15">
      <c r="A13" s="129"/>
      <c r="B13" s="113"/>
      <c r="C13" s="95"/>
      <c r="D13" s="58"/>
      <c r="E13" s="130"/>
      <c r="F13" s="130"/>
      <c r="G13" s="130"/>
      <c r="H13" s="49"/>
      <c r="I13" s="121"/>
      <c r="J13" s="131"/>
      <c r="K13" s="132"/>
      <c r="L13" s="133"/>
      <c r="M13" s="132"/>
      <c r="N13" s="132"/>
      <c r="O13" s="134"/>
      <c r="P13" s="135"/>
      <c r="Q13" s="135"/>
    </row>
    <row r="14" spans="1:18" ht="15">
      <c r="A14" s="129"/>
      <c r="B14" s="113"/>
      <c r="C14" s="95"/>
      <c r="D14" s="58"/>
      <c r="E14" s="130"/>
      <c r="F14" s="130"/>
      <c r="G14" s="130"/>
      <c r="H14" s="49"/>
      <c r="I14" s="121"/>
      <c r="J14" s="131"/>
      <c r="K14" s="132"/>
      <c r="L14" s="133"/>
      <c r="M14" s="132"/>
      <c r="N14" s="132"/>
      <c r="O14" s="134"/>
      <c r="P14" s="135"/>
      <c r="Q14" s="135"/>
    </row>
    <row r="15" spans="1:18" ht="15">
      <c r="A15" s="129"/>
      <c r="B15" s="113"/>
      <c r="C15" s="95"/>
      <c r="D15" s="58"/>
      <c r="E15" s="130"/>
      <c r="F15" s="130"/>
      <c r="G15" s="130"/>
      <c r="H15" s="49"/>
      <c r="I15" s="121"/>
      <c r="J15" s="131"/>
      <c r="K15" s="132"/>
      <c r="L15" s="133"/>
      <c r="M15" s="132"/>
      <c r="N15" s="132"/>
      <c r="O15" s="134"/>
      <c r="P15" s="135"/>
      <c r="Q15" s="135"/>
    </row>
    <row r="16" spans="1:18" ht="15">
      <c r="A16" s="129"/>
      <c r="B16" s="113"/>
      <c r="C16" s="95"/>
      <c r="D16" s="58"/>
      <c r="E16" s="130"/>
      <c r="F16" s="130"/>
      <c r="G16" s="130"/>
      <c r="H16" s="49"/>
      <c r="I16" s="121"/>
      <c r="J16" s="131"/>
      <c r="K16" s="132"/>
      <c r="L16" s="133"/>
      <c r="M16" s="132"/>
      <c r="N16" s="132"/>
      <c r="O16" s="134"/>
      <c r="P16" s="135"/>
      <c r="Q16" s="135"/>
    </row>
    <row r="17" spans="1:17" ht="15">
      <c r="A17" s="129"/>
      <c r="B17" s="113"/>
      <c r="C17" s="95"/>
      <c r="D17" s="58"/>
      <c r="E17" s="130"/>
      <c r="F17" s="130"/>
      <c r="G17" s="130"/>
      <c r="H17" s="49"/>
      <c r="I17" s="121"/>
      <c r="J17" s="131"/>
      <c r="K17" s="132"/>
      <c r="L17" s="133"/>
      <c r="M17" s="132"/>
      <c r="N17" s="132"/>
      <c r="O17" s="134"/>
      <c r="P17" s="135"/>
      <c r="Q17" s="135"/>
    </row>
    <row r="18" spans="1:17" ht="15">
      <c r="A18" s="129"/>
      <c r="B18" s="113"/>
      <c r="C18" s="95"/>
      <c r="D18" s="58"/>
      <c r="E18" s="130"/>
      <c r="F18" s="130"/>
      <c r="G18" s="130"/>
      <c r="H18" s="49"/>
      <c r="I18" s="121"/>
      <c r="J18" s="131"/>
      <c r="K18" s="132"/>
      <c r="L18" s="133"/>
      <c r="M18" s="132"/>
      <c r="N18" s="132"/>
      <c r="O18" s="134"/>
      <c r="P18" s="135"/>
      <c r="Q18" s="135"/>
    </row>
    <row r="19" spans="1:17" ht="15">
      <c r="A19" s="129"/>
      <c r="B19" s="113"/>
      <c r="C19" s="95"/>
      <c r="D19" s="58"/>
      <c r="E19" s="130"/>
      <c r="F19" s="130"/>
      <c r="G19" s="130"/>
      <c r="H19" s="49"/>
      <c r="I19" s="121"/>
      <c r="J19" s="131"/>
      <c r="K19" s="132"/>
      <c r="L19" s="133"/>
      <c r="M19" s="132"/>
      <c r="N19" s="132"/>
      <c r="O19" s="134"/>
      <c r="P19" s="135"/>
      <c r="Q19" s="135"/>
    </row>
    <row r="20" spans="1:17" ht="15">
      <c r="A20" s="129"/>
      <c r="B20" s="113"/>
      <c r="C20" s="95"/>
      <c r="D20" s="58"/>
      <c r="E20" s="130"/>
      <c r="F20" s="130"/>
      <c r="G20" s="130"/>
      <c r="H20" s="49"/>
      <c r="I20" s="121"/>
      <c r="J20" s="131"/>
      <c r="K20" s="132"/>
      <c r="L20" s="133"/>
      <c r="M20" s="132"/>
      <c r="N20" s="132"/>
      <c r="O20" s="134"/>
      <c r="P20" s="135"/>
      <c r="Q20" s="135"/>
    </row>
    <row r="21" spans="1:17" ht="15">
      <c r="A21" s="129"/>
      <c r="B21" s="113"/>
      <c r="C21" s="95"/>
      <c r="D21" s="58"/>
      <c r="E21" s="130"/>
      <c r="F21" s="130"/>
      <c r="G21" s="130"/>
      <c r="H21" s="49"/>
      <c r="I21" s="121"/>
      <c r="J21" s="131"/>
      <c r="K21" s="132"/>
      <c r="L21" s="133"/>
      <c r="M21" s="132"/>
      <c r="N21" s="132"/>
      <c r="O21" s="134"/>
      <c r="P21" s="135"/>
      <c r="Q21" s="135"/>
    </row>
    <row r="22" spans="1:17" ht="15">
      <c r="A22" s="129"/>
      <c r="B22" s="113"/>
      <c r="C22" s="95"/>
      <c r="D22" s="58"/>
      <c r="E22" s="130"/>
      <c r="F22" s="130"/>
      <c r="G22" s="130"/>
      <c r="H22" s="49"/>
      <c r="I22" s="121"/>
      <c r="J22" s="131"/>
      <c r="K22" s="132"/>
      <c r="L22" s="133"/>
      <c r="M22" s="132"/>
      <c r="N22" s="132"/>
      <c r="O22" s="134"/>
      <c r="P22" s="135"/>
      <c r="Q22" s="135"/>
    </row>
    <row r="23" spans="1:17" ht="15">
      <c r="A23" s="129"/>
      <c r="B23" s="113"/>
      <c r="C23" s="95"/>
      <c r="D23" s="58"/>
      <c r="E23" s="130"/>
      <c r="F23" s="130"/>
      <c r="G23" s="130"/>
      <c r="H23" s="49"/>
      <c r="I23" s="121"/>
      <c r="J23" s="131"/>
      <c r="K23" s="132"/>
      <c r="L23" s="133"/>
      <c r="M23" s="132"/>
      <c r="N23" s="132"/>
      <c r="O23" s="134"/>
      <c r="P23" s="135"/>
      <c r="Q23" s="135"/>
    </row>
    <row r="24" spans="1:17" ht="15">
      <c r="A24" s="129"/>
      <c r="B24" s="113"/>
      <c r="C24" s="95"/>
      <c r="D24" s="58"/>
      <c r="E24" s="130"/>
      <c r="F24" s="130"/>
      <c r="G24" s="130"/>
      <c r="H24" s="49"/>
      <c r="I24" s="121"/>
      <c r="J24" s="131"/>
      <c r="K24" s="132"/>
      <c r="L24" s="133"/>
      <c r="M24" s="132"/>
      <c r="N24" s="132"/>
      <c r="O24" s="134"/>
      <c r="P24" s="135"/>
      <c r="Q24" s="135"/>
    </row>
    <row r="25" spans="1:17" ht="15">
      <c r="A25" s="129"/>
      <c r="B25" s="113"/>
      <c r="C25" s="95"/>
      <c r="D25" s="58"/>
      <c r="E25" s="130"/>
      <c r="F25" s="130"/>
      <c r="G25" s="130"/>
      <c r="H25" s="49"/>
      <c r="I25" s="121"/>
      <c r="J25" s="131"/>
      <c r="K25" s="132"/>
      <c r="L25" s="133"/>
      <c r="M25" s="132"/>
      <c r="N25" s="132"/>
      <c r="O25" s="134"/>
      <c r="P25" s="135"/>
      <c r="Q25" s="135"/>
    </row>
    <row r="26" spans="1:17" ht="15">
      <c r="A26" s="129"/>
      <c r="B26" s="113"/>
      <c r="C26" s="95"/>
      <c r="D26" s="58"/>
      <c r="E26" s="130"/>
      <c r="F26" s="130"/>
      <c r="G26" s="130"/>
      <c r="H26" s="49"/>
      <c r="I26" s="121"/>
      <c r="J26" s="131"/>
      <c r="K26" s="132"/>
      <c r="L26" s="133"/>
      <c r="M26" s="132"/>
      <c r="N26" s="132"/>
      <c r="O26" s="134"/>
      <c r="P26" s="135"/>
      <c r="Q26" s="135"/>
    </row>
    <row r="27" spans="1:17" ht="15">
      <c r="A27" s="129"/>
      <c r="B27" s="113"/>
      <c r="C27" s="95"/>
      <c r="D27" s="58"/>
      <c r="E27" s="130"/>
      <c r="F27" s="130"/>
      <c r="G27" s="130"/>
      <c r="H27" s="49"/>
      <c r="I27" s="121"/>
      <c r="J27" s="131"/>
      <c r="K27" s="132"/>
      <c r="L27" s="133"/>
      <c r="M27" s="132"/>
      <c r="N27" s="132"/>
      <c r="O27" s="134"/>
      <c r="P27" s="135"/>
      <c r="Q27" s="135"/>
    </row>
    <row r="28" spans="1:17" ht="15">
      <c r="A28" s="129"/>
      <c r="B28" s="113"/>
      <c r="C28" s="95"/>
      <c r="D28" s="58"/>
      <c r="E28" s="130"/>
      <c r="F28" s="130"/>
      <c r="G28" s="130"/>
      <c r="H28" s="49"/>
      <c r="I28" s="121"/>
      <c r="J28" s="131"/>
      <c r="K28" s="132"/>
      <c r="L28" s="133"/>
      <c r="M28" s="132"/>
      <c r="N28" s="132"/>
      <c r="O28" s="134"/>
      <c r="P28" s="135"/>
      <c r="Q28" s="135"/>
    </row>
    <row r="29" spans="1:17" ht="15">
      <c r="A29" s="129"/>
      <c r="B29" s="113"/>
      <c r="C29" s="95"/>
      <c r="D29" s="58"/>
      <c r="E29" s="130"/>
      <c r="F29" s="130"/>
      <c r="G29" s="130"/>
      <c r="H29" s="49"/>
      <c r="I29" s="121"/>
      <c r="J29" s="131"/>
      <c r="K29" s="132"/>
      <c r="L29" s="133"/>
      <c r="M29" s="132"/>
      <c r="N29" s="132"/>
      <c r="O29" s="134"/>
      <c r="P29" s="135"/>
      <c r="Q29" s="135"/>
    </row>
    <row r="30" spans="1:17" ht="15">
      <c r="A30" s="129"/>
      <c r="B30" s="113"/>
      <c r="C30" s="95"/>
      <c r="D30" s="58"/>
      <c r="E30" s="130"/>
      <c r="F30" s="130"/>
      <c r="G30" s="130"/>
      <c r="H30" s="49"/>
      <c r="I30" s="121"/>
      <c r="J30" s="131"/>
      <c r="K30" s="132"/>
      <c r="L30" s="133"/>
      <c r="M30" s="132"/>
      <c r="N30" s="132"/>
      <c r="O30" s="134"/>
      <c r="P30" s="135"/>
      <c r="Q30" s="135"/>
    </row>
    <row r="31" spans="1:17" ht="15">
      <c r="A31" s="129"/>
      <c r="B31" s="113"/>
      <c r="C31" s="95"/>
      <c r="D31" s="58"/>
      <c r="E31" s="130"/>
      <c r="F31" s="130"/>
      <c r="G31" s="130"/>
      <c r="H31" s="49"/>
      <c r="I31" s="121"/>
      <c r="J31" s="131"/>
      <c r="K31" s="132"/>
      <c r="L31" s="133"/>
      <c r="M31" s="132"/>
      <c r="N31" s="132"/>
      <c r="O31" s="134"/>
      <c r="P31" s="135"/>
      <c r="Q31" s="135"/>
    </row>
    <row r="32" spans="1:17" ht="15">
      <c r="A32" s="129"/>
      <c r="B32" s="113"/>
      <c r="C32" s="95"/>
      <c r="D32" s="58"/>
      <c r="E32" s="130"/>
      <c r="F32" s="130"/>
      <c r="G32" s="130"/>
      <c r="H32" s="49"/>
      <c r="I32" s="121"/>
      <c r="J32" s="131"/>
      <c r="K32" s="132"/>
      <c r="L32" s="133"/>
      <c r="M32" s="132"/>
      <c r="N32" s="132"/>
      <c r="O32" s="134"/>
      <c r="P32" s="135"/>
      <c r="Q32" s="135"/>
    </row>
    <row r="33" spans="1:17" ht="15">
      <c r="A33" s="129"/>
      <c r="B33" s="113"/>
      <c r="C33" s="95"/>
      <c r="D33" s="58"/>
      <c r="E33" s="130"/>
      <c r="F33" s="130"/>
      <c r="G33" s="130"/>
      <c r="H33" s="49"/>
      <c r="I33" s="121"/>
      <c r="J33" s="131"/>
      <c r="K33" s="132"/>
      <c r="L33" s="133"/>
      <c r="M33" s="132"/>
      <c r="N33" s="132"/>
      <c r="O33" s="134"/>
      <c r="P33" s="135"/>
      <c r="Q33" s="135"/>
    </row>
    <row r="34" spans="1:17" ht="15">
      <c r="A34" s="129"/>
      <c r="B34" s="113"/>
      <c r="C34" s="95"/>
      <c r="D34" s="58"/>
      <c r="E34" s="130"/>
      <c r="F34" s="130"/>
      <c r="G34" s="130"/>
      <c r="H34" s="49"/>
      <c r="I34" s="121"/>
      <c r="J34" s="131"/>
      <c r="K34" s="132"/>
      <c r="L34" s="133"/>
      <c r="M34" s="132"/>
      <c r="N34" s="132"/>
      <c r="O34" s="134"/>
      <c r="P34" s="135"/>
      <c r="Q34" s="135"/>
    </row>
    <row r="35" spans="1:17" ht="15">
      <c r="A35" s="129"/>
      <c r="B35" s="113"/>
      <c r="C35" s="95"/>
      <c r="D35" s="58"/>
      <c r="E35" s="130"/>
      <c r="F35" s="130"/>
      <c r="G35" s="130"/>
      <c r="H35" s="49"/>
      <c r="I35" s="121"/>
      <c r="J35" s="131"/>
      <c r="K35" s="132"/>
      <c r="L35" s="133"/>
      <c r="M35" s="132"/>
      <c r="N35" s="132"/>
      <c r="O35" s="134"/>
      <c r="P35" s="135"/>
      <c r="Q35" s="135"/>
    </row>
    <row r="36" spans="1:17" ht="15">
      <c r="A36" s="129"/>
      <c r="B36" s="113"/>
      <c r="C36" s="95"/>
      <c r="D36" s="58"/>
      <c r="E36" s="130"/>
      <c r="F36" s="130"/>
      <c r="G36" s="130"/>
      <c r="H36" s="49"/>
      <c r="I36" s="121"/>
      <c r="J36" s="131"/>
      <c r="K36" s="132"/>
      <c r="L36" s="133"/>
      <c r="M36" s="132"/>
      <c r="N36" s="132"/>
      <c r="O36" s="134"/>
      <c r="P36" s="135"/>
      <c r="Q36" s="135"/>
    </row>
    <row r="37" spans="1:17" ht="15">
      <c r="A37" s="129"/>
      <c r="B37" s="113"/>
      <c r="C37" s="95"/>
      <c r="D37" s="58"/>
      <c r="E37" s="130"/>
      <c r="F37" s="130"/>
      <c r="G37" s="130"/>
      <c r="H37" s="49"/>
      <c r="I37" s="121"/>
      <c r="J37" s="131"/>
      <c r="K37" s="132"/>
      <c r="L37" s="133"/>
      <c r="M37" s="132"/>
      <c r="N37" s="132"/>
      <c r="O37" s="134"/>
      <c r="P37" s="135"/>
      <c r="Q37" s="135"/>
    </row>
    <row r="38" spans="1:17" ht="15">
      <c r="A38" s="129"/>
      <c r="B38" s="113"/>
      <c r="C38" s="95"/>
      <c r="D38" s="58"/>
      <c r="E38" s="130"/>
      <c r="F38" s="130"/>
      <c r="G38" s="130"/>
      <c r="H38" s="49"/>
      <c r="I38" s="121"/>
      <c r="J38" s="131"/>
      <c r="K38" s="132"/>
      <c r="L38" s="133"/>
      <c r="M38" s="132"/>
      <c r="N38" s="132"/>
      <c r="O38" s="134"/>
      <c r="P38" s="135"/>
      <c r="Q38" s="135"/>
    </row>
    <row r="39" spans="1:17" ht="15">
      <c r="A39" s="129"/>
      <c r="B39" s="113"/>
      <c r="C39" s="95"/>
      <c r="D39" s="58"/>
      <c r="E39" s="130"/>
      <c r="F39" s="130"/>
      <c r="G39" s="130"/>
      <c r="H39" s="49"/>
      <c r="I39" s="121"/>
      <c r="J39" s="131"/>
      <c r="K39" s="132"/>
      <c r="L39" s="133"/>
      <c r="M39" s="132"/>
      <c r="N39" s="132"/>
      <c r="O39" s="134"/>
      <c r="P39" s="135"/>
      <c r="Q39" s="135"/>
    </row>
    <row r="40" spans="1:17" ht="15">
      <c r="A40" s="129"/>
      <c r="B40" s="113"/>
      <c r="C40" s="95"/>
      <c r="D40" s="58"/>
      <c r="E40" s="130"/>
      <c r="F40" s="130"/>
      <c r="G40" s="130"/>
      <c r="H40" s="49"/>
      <c r="I40" s="121"/>
      <c r="J40" s="131"/>
      <c r="K40" s="132"/>
      <c r="L40" s="133"/>
      <c r="M40" s="132"/>
      <c r="N40" s="132"/>
      <c r="O40" s="134"/>
      <c r="P40" s="135"/>
      <c r="Q40" s="135"/>
    </row>
    <row r="41" spans="1:17" ht="15">
      <c r="A41" s="129"/>
      <c r="B41" s="113"/>
      <c r="C41" s="95"/>
      <c r="D41" s="58"/>
      <c r="E41" s="130"/>
      <c r="F41" s="130"/>
      <c r="G41" s="130"/>
      <c r="H41" s="49"/>
      <c r="I41" s="121"/>
      <c r="J41" s="131"/>
      <c r="K41" s="132"/>
      <c r="L41" s="133"/>
      <c r="M41" s="132"/>
      <c r="N41" s="132"/>
      <c r="O41" s="134"/>
      <c r="P41" s="135"/>
      <c r="Q41" s="135"/>
    </row>
    <row r="42" spans="1:17" ht="15">
      <c r="A42" s="129"/>
      <c r="B42" s="113"/>
      <c r="C42" s="95"/>
      <c r="D42" s="58"/>
      <c r="E42" s="130"/>
      <c r="F42" s="130"/>
      <c r="G42" s="130"/>
      <c r="H42" s="49"/>
      <c r="I42" s="121"/>
      <c r="J42" s="131"/>
      <c r="K42" s="132"/>
      <c r="L42" s="133"/>
      <c r="M42" s="132"/>
      <c r="N42" s="132"/>
      <c r="O42" s="134"/>
      <c r="P42" s="135"/>
      <c r="Q42" s="135"/>
    </row>
    <row r="43" spans="1:17" ht="15">
      <c r="A43" s="129"/>
      <c r="B43" s="113"/>
      <c r="C43" s="95"/>
      <c r="D43" s="58"/>
      <c r="E43" s="130"/>
      <c r="F43" s="130"/>
      <c r="G43" s="130"/>
      <c r="H43" s="49"/>
      <c r="I43" s="121"/>
      <c r="J43" s="131"/>
      <c r="K43" s="132"/>
      <c r="L43" s="133"/>
      <c r="M43" s="132"/>
      <c r="N43" s="132"/>
      <c r="O43" s="134"/>
      <c r="P43" s="135"/>
      <c r="Q43" s="135"/>
    </row>
    <row r="44" spans="1:17" ht="15">
      <c r="A44" s="129"/>
      <c r="B44" s="113"/>
      <c r="C44" s="95"/>
      <c r="D44" s="58"/>
      <c r="E44" s="130"/>
      <c r="F44" s="130"/>
      <c r="G44" s="130"/>
      <c r="H44" s="49"/>
      <c r="I44" s="121"/>
      <c r="J44" s="131"/>
      <c r="K44" s="132"/>
      <c r="L44" s="133"/>
      <c r="M44" s="132"/>
      <c r="N44" s="132"/>
      <c r="O44" s="134"/>
      <c r="P44" s="135"/>
      <c r="Q44" s="135"/>
    </row>
    <row r="45" spans="1:17" ht="15">
      <c r="A45" s="129"/>
      <c r="B45" s="113"/>
      <c r="C45" s="95"/>
      <c r="D45" s="58"/>
      <c r="E45" s="130"/>
      <c r="F45" s="130"/>
      <c r="G45" s="130"/>
      <c r="H45" s="49"/>
      <c r="I45" s="121"/>
      <c r="J45" s="131"/>
      <c r="K45" s="132"/>
      <c r="L45" s="133"/>
      <c r="M45" s="132"/>
      <c r="N45" s="132"/>
      <c r="O45" s="134"/>
      <c r="P45" s="135"/>
      <c r="Q45" s="135"/>
    </row>
    <row r="46" spans="1:17" ht="15">
      <c r="A46" s="129"/>
      <c r="B46" s="113"/>
      <c r="C46" s="95"/>
      <c r="D46" s="58"/>
      <c r="E46" s="130"/>
      <c r="F46" s="130"/>
      <c r="G46" s="130"/>
      <c r="H46" s="49"/>
      <c r="I46" s="121"/>
      <c r="J46" s="131"/>
      <c r="K46" s="132"/>
      <c r="L46" s="133"/>
      <c r="M46" s="132"/>
      <c r="N46" s="132"/>
      <c r="O46" s="134"/>
      <c r="P46" s="135"/>
      <c r="Q46" s="135"/>
    </row>
    <row r="47" spans="1:17" ht="15">
      <c r="A47" s="129"/>
      <c r="B47" s="113"/>
      <c r="C47" s="95"/>
      <c r="D47" s="58"/>
      <c r="E47" s="130"/>
      <c r="F47" s="130"/>
      <c r="G47" s="130"/>
      <c r="H47" s="49"/>
      <c r="I47" s="121"/>
      <c r="J47" s="131"/>
      <c r="K47" s="132"/>
      <c r="L47" s="133"/>
      <c r="M47" s="132"/>
      <c r="N47" s="132"/>
      <c r="O47" s="134"/>
      <c r="P47" s="135"/>
      <c r="Q47" s="135"/>
    </row>
    <row r="48" spans="1:17" ht="15">
      <c r="A48" s="129"/>
      <c r="B48" s="113"/>
      <c r="C48" s="95"/>
      <c r="D48" s="58"/>
      <c r="E48" s="130"/>
      <c r="F48" s="130"/>
      <c r="G48" s="130"/>
      <c r="H48" s="49"/>
      <c r="I48" s="121"/>
      <c r="J48" s="131"/>
      <c r="K48" s="132"/>
      <c r="L48" s="133"/>
      <c r="M48" s="132"/>
      <c r="N48" s="132"/>
      <c r="O48" s="134"/>
      <c r="P48" s="135"/>
      <c r="Q48" s="135"/>
    </row>
    <row r="49" spans="1:17" ht="15">
      <c r="A49" s="129"/>
      <c r="B49" s="113"/>
      <c r="C49" s="95"/>
      <c r="D49" s="58"/>
      <c r="E49" s="130"/>
      <c r="F49" s="130"/>
      <c r="G49" s="130"/>
      <c r="H49" s="49"/>
      <c r="I49" s="121"/>
      <c r="J49" s="131"/>
      <c r="K49" s="132"/>
      <c r="L49" s="133"/>
      <c r="M49" s="132"/>
      <c r="N49" s="132"/>
      <c r="O49" s="134"/>
      <c r="P49" s="135"/>
      <c r="Q49" s="135"/>
    </row>
    <row r="50" spans="1:17" ht="15">
      <c r="A50" s="129"/>
      <c r="B50" s="113"/>
      <c r="C50" s="95"/>
      <c r="D50" s="58"/>
      <c r="E50" s="130"/>
      <c r="F50" s="130"/>
      <c r="G50" s="130"/>
      <c r="H50" s="49"/>
      <c r="I50" s="121"/>
      <c r="J50" s="131"/>
      <c r="K50" s="132"/>
      <c r="L50" s="133"/>
      <c r="M50" s="132"/>
      <c r="N50" s="132"/>
      <c r="O50" s="134"/>
      <c r="P50" s="135"/>
      <c r="Q50" s="135"/>
    </row>
    <row r="51" spans="1:17" ht="15">
      <c r="A51" s="129"/>
      <c r="B51" s="113"/>
      <c r="C51" s="95"/>
      <c r="D51" s="58"/>
      <c r="E51" s="130"/>
      <c r="F51" s="130"/>
      <c r="G51" s="130"/>
      <c r="H51" s="49"/>
      <c r="I51" s="121"/>
      <c r="J51" s="131"/>
      <c r="K51" s="132"/>
      <c r="L51" s="133"/>
      <c r="M51" s="132"/>
      <c r="N51" s="132"/>
      <c r="O51" s="134"/>
      <c r="P51" s="135"/>
      <c r="Q51" s="135"/>
    </row>
    <row r="52" spans="1:17" ht="15">
      <c r="A52" s="129"/>
      <c r="B52" s="113"/>
      <c r="C52" s="95"/>
      <c r="D52" s="58"/>
      <c r="E52" s="130"/>
      <c r="F52" s="130"/>
      <c r="G52" s="130"/>
      <c r="H52" s="49"/>
      <c r="I52" s="121"/>
      <c r="J52" s="131"/>
      <c r="K52" s="132"/>
      <c r="L52" s="133"/>
      <c r="M52" s="132"/>
      <c r="N52" s="132"/>
      <c r="O52" s="134"/>
      <c r="P52" s="135"/>
      <c r="Q52" s="135"/>
    </row>
    <row r="53" spans="1:17" ht="15">
      <c r="A53" s="129"/>
      <c r="B53" s="113"/>
      <c r="C53" s="95"/>
      <c r="D53" s="58"/>
      <c r="E53" s="130"/>
      <c r="F53" s="130"/>
      <c r="G53" s="130"/>
      <c r="H53" s="49"/>
      <c r="I53" s="121"/>
      <c r="J53" s="131"/>
      <c r="K53" s="132"/>
      <c r="L53" s="133"/>
      <c r="M53" s="132"/>
      <c r="N53" s="132"/>
      <c r="O53" s="134"/>
      <c r="P53" s="135"/>
      <c r="Q53" s="135"/>
    </row>
    <row r="54" spans="1:17" ht="15">
      <c r="A54" s="129"/>
      <c r="B54" s="113"/>
      <c r="C54" s="95"/>
      <c r="D54" s="58"/>
      <c r="E54" s="130"/>
      <c r="F54" s="130"/>
      <c r="G54" s="130"/>
      <c r="H54" s="49"/>
      <c r="I54" s="121"/>
      <c r="J54" s="131"/>
      <c r="K54" s="132"/>
      <c r="L54" s="133"/>
      <c r="M54" s="132"/>
      <c r="N54" s="132"/>
      <c r="O54" s="134"/>
      <c r="P54" s="135"/>
      <c r="Q54" s="135"/>
    </row>
    <row r="55" spans="1:17" ht="15">
      <c r="A55" s="129"/>
      <c r="B55" s="113"/>
      <c r="C55" s="95"/>
      <c r="D55" s="58"/>
      <c r="E55" s="130"/>
      <c r="F55" s="130"/>
      <c r="G55" s="130"/>
      <c r="H55" s="49"/>
      <c r="I55" s="121"/>
      <c r="J55" s="131"/>
      <c r="K55" s="132"/>
      <c r="L55" s="133"/>
      <c r="M55" s="132"/>
      <c r="N55" s="132"/>
      <c r="O55" s="134"/>
      <c r="P55" s="135"/>
      <c r="Q55" s="135"/>
    </row>
    <row r="56" spans="1:17" ht="15">
      <c r="A56" s="129"/>
      <c r="B56" s="113"/>
      <c r="C56" s="95"/>
      <c r="D56" s="58"/>
      <c r="E56" s="130"/>
      <c r="F56" s="130"/>
      <c r="G56" s="130"/>
      <c r="H56" s="49"/>
      <c r="I56" s="121"/>
      <c r="J56" s="131"/>
      <c r="K56" s="132"/>
      <c r="L56" s="133"/>
      <c r="M56" s="132"/>
      <c r="N56" s="132"/>
      <c r="O56" s="134"/>
      <c r="P56" s="135"/>
      <c r="Q56" s="135"/>
    </row>
    <row r="57" spans="1:17" ht="15">
      <c r="A57" s="129"/>
      <c r="B57" s="113"/>
      <c r="C57" s="95"/>
      <c r="D57" s="58"/>
      <c r="E57" s="130"/>
      <c r="F57" s="130"/>
      <c r="G57" s="130"/>
      <c r="H57" s="49"/>
      <c r="I57" s="121"/>
      <c r="J57" s="131"/>
      <c r="K57" s="132"/>
      <c r="L57" s="133"/>
      <c r="M57" s="132"/>
      <c r="N57" s="132"/>
      <c r="O57" s="134"/>
      <c r="P57" s="135"/>
      <c r="Q57" s="135"/>
    </row>
    <row r="58" spans="1:17" ht="15">
      <c r="A58" s="129"/>
      <c r="B58" s="113"/>
      <c r="C58" s="95"/>
      <c r="D58" s="58"/>
      <c r="E58" s="130"/>
      <c r="F58" s="130"/>
      <c r="G58" s="130"/>
      <c r="H58" s="49"/>
      <c r="I58" s="121"/>
      <c r="J58" s="131"/>
      <c r="K58" s="132"/>
      <c r="L58" s="133"/>
      <c r="M58" s="132"/>
      <c r="N58" s="132"/>
      <c r="O58" s="134"/>
      <c r="P58" s="135"/>
      <c r="Q58" s="135"/>
    </row>
    <row r="59" spans="1:17" ht="15">
      <c r="A59" s="129"/>
      <c r="B59" s="113"/>
      <c r="C59" s="95"/>
      <c r="D59" s="58"/>
      <c r="E59" s="130"/>
      <c r="F59" s="130"/>
      <c r="G59" s="130"/>
      <c r="H59" s="49"/>
      <c r="I59" s="121"/>
      <c r="J59" s="131"/>
      <c r="K59" s="132"/>
      <c r="L59" s="133"/>
      <c r="M59" s="132"/>
      <c r="N59" s="132"/>
      <c r="O59" s="134"/>
      <c r="P59" s="135"/>
      <c r="Q59" s="135"/>
    </row>
    <row r="60" spans="1:17" ht="15">
      <c r="A60" s="129"/>
      <c r="B60" s="113"/>
      <c r="C60" s="95"/>
      <c r="D60" s="58"/>
      <c r="E60" s="130"/>
      <c r="F60" s="130"/>
      <c r="G60" s="130"/>
      <c r="H60" s="49"/>
      <c r="I60" s="121"/>
      <c r="J60" s="131"/>
      <c r="K60" s="132"/>
      <c r="L60" s="133"/>
      <c r="M60" s="132"/>
      <c r="N60" s="132"/>
      <c r="O60" s="134"/>
      <c r="P60" s="135"/>
      <c r="Q60" s="135"/>
    </row>
    <row r="61" spans="1:17" ht="15">
      <c r="A61" s="129"/>
      <c r="B61" s="113"/>
      <c r="C61" s="95"/>
      <c r="D61" s="58"/>
      <c r="E61" s="130"/>
      <c r="F61" s="130"/>
      <c r="G61" s="130"/>
      <c r="H61" s="49"/>
      <c r="I61" s="121"/>
      <c r="J61" s="131"/>
      <c r="K61" s="132"/>
      <c r="L61" s="133"/>
      <c r="M61" s="132"/>
      <c r="N61" s="132"/>
      <c r="O61" s="134"/>
      <c r="P61" s="135"/>
      <c r="Q61" s="135"/>
    </row>
    <row r="62" spans="1:17" ht="15">
      <c r="A62" s="129"/>
      <c r="B62" s="113"/>
      <c r="C62" s="95"/>
      <c r="D62" s="58"/>
      <c r="E62" s="130"/>
      <c r="F62" s="130"/>
      <c r="G62" s="130"/>
      <c r="H62" s="49"/>
      <c r="I62" s="121"/>
      <c r="J62" s="131"/>
      <c r="K62" s="132"/>
      <c r="L62" s="133"/>
      <c r="M62" s="132"/>
      <c r="N62" s="132"/>
      <c r="O62" s="134"/>
      <c r="P62" s="135"/>
      <c r="Q62" s="135"/>
    </row>
    <row r="63" spans="1:17" ht="15">
      <c r="A63" s="129"/>
      <c r="B63" s="113"/>
      <c r="C63" s="95"/>
      <c r="D63" s="58"/>
      <c r="E63" s="130"/>
      <c r="F63" s="130"/>
      <c r="G63" s="130"/>
      <c r="H63" s="49"/>
      <c r="I63" s="121"/>
      <c r="J63" s="131"/>
      <c r="K63" s="132"/>
      <c r="L63" s="133"/>
      <c r="M63" s="132"/>
      <c r="N63" s="132"/>
      <c r="O63" s="134"/>
      <c r="P63" s="135"/>
      <c r="Q63" s="135"/>
    </row>
    <row r="64" spans="1:17" ht="15">
      <c r="A64" s="129"/>
      <c r="B64" s="113"/>
      <c r="C64" s="95"/>
      <c r="D64" s="58"/>
      <c r="E64" s="130"/>
      <c r="F64" s="130"/>
      <c r="G64" s="130"/>
      <c r="H64" s="49"/>
      <c r="I64" s="121"/>
      <c r="J64" s="131"/>
      <c r="K64" s="132"/>
      <c r="L64" s="133"/>
      <c r="M64" s="132"/>
      <c r="N64" s="132"/>
      <c r="O64" s="134"/>
      <c r="P64" s="135"/>
      <c r="Q64" s="135"/>
    </row>
    <row r="65" spans="1:17" ht="15">
      <c r="A65" s="129"/>
      <c r="B65" s="113"/>
      <c r="C65" s="95"/>
      <c r="D65" s="58"/>
      <c r="E65" s="130"/>
      <c r="F65" s="130"/>
      <c r="G65" s="130"/>
      <c r="H65" s="49"/>
      <c r="I65" s="121"/>
      <c r="J65" s="131"/>
      <c r="K65" s="132"/>
      <c r="L65" s="133"/>
      <c r="M65" s="132"/>
      <c r="N65" s="132"/>
      <c r="O65" s="134"/>
      <c r="P65" s="135"/>
      <c r="Q65" s="135"/>
    </row>
    <row r="66" spans="1:17" ht="15">
      <c r="A66" s="129"/>
      <c r="B66" s="113"/>
      <c r="C66" s="95"/>
      <c r="D66" s="58"/>
      <c r="E66" s="130"/>
      <c r="F66" s="130"/>
      <c r="G66" s="130"/>
      <c r="H66" s="49"/>
      <c r="I66" s="121"/>
      <c r="J66" s="131"/>
      <c r="K66" s="132"/>
      <c r="L66" s="133"/>
      <c r="M66" s="132"/>
      <c r="N66" s="132"/>
      <c r="O66" s="134"/>
      <c r="P66" s="135"/>
      <c r="Q66" s="135"/>
    </row>
    <row r="67" spans="1:17" ht="15">
      <c r="A67" s="129"/>
      <c r="B67" s="113"/>
      <c r="C67" s="95"/>
      <c r="D67" s="58"/>
      <c r="E67" s="130"/>
      <c r="F67" s="130"/>
      <c r="G67" s="130"/>
      <c r="H67" s="49"/>
      <c r="I67" s="121"/>
      <c r="J67" s="131"/>
      <c r="K67" s="132"/>
      <c r="L67" s="133"/>
      <c r="M67" s="132"/>
      <c r="N67" s="132"/>
      <c r="O67" s="134"/>
      <c r="P67" s="135"/>
      <c r="Q67" s="135"/>
    </row>
    <row r="68" spans="1:17" ht="15">
      <c r="A68" s="129"/>
      <c r="B68" s="113"/>
      <c r="C68" s="95"/>
      <c r="D68" s="58"/>
      <c r="E68" s="130"/>
      <c r="F68" s="130"/>
      <c r="G68" s="130"/>
      <c r="H68" s="49"/>
      <c r="I68" s="121"/>
      <c r="J68" s="131"/>
      <c r="K68" s="132"/>
      <c r="L68" s="133"/>
      <c r="M68" s="132"/>
      <c r="N68" s="132"/>
      <c r="O68" s="134"/>
      <c r="P68" s="135"/>
      <c r="Q68" s="135"/>
    </row>
    <row r="69" spans="1:17" ht="15">
      <c r="A69" s="129"/>
      <c r="B69" s="113"/>
      <c r="C69" s="95"/>
      <c r="D69" s="58"/>
      <c r="E69" s="130"/>
      <c r="F69" s="130"/>
      <c r="G69" s="130"/>
      <c r="H69" s="49"/>
      <c r="I69" s="121"/>
      <c r="J69" s="131"/>
      <c r="K69" s="132"/>
      <c r="L69" s="133"/>
      <c r="M69" s="132"/>
      <c r="N69" s="132"/>
      <c r="O69" s="134"/>
      <c r="P69" s="135"/>
      <c r="Q69" s="135"/>
    </row>
    <row r="70" spans="1:17" ht="15">
      <c r="A70" s="129"/>
      <c r="B70" s="113"/>
      <c r="C70" s="95"/>
      <c r="D70" s="58"/>
      <c r="E70" s="130"/>
      <c r="F70" s="130"/>
      <c r="G70" s="130"/>
      <c r="H70" s="49"/>
      <c r="I70" s="121"/>
      <c r="J70" s="131"/>
      <c r="K70" s="132"/>
      <c r="L70" s="133"/>
      <c r="M70" s="132"/>
      <c r="N70" s="132"/>
      <c r="O70" s="134"/>
      <c r="P70" s="135"/>
      <c r="Q70" s="135"/>
    </row>
    <row r="71" spans="1:17" ht="15">
      <c r="A71" s="129"/>
      <c r="B71" s="113"/>
      <c r="C71" s="95"/>
      <c r="D71" s="58"/>
      <c r="E71" s="130"/>
      <c r="F71" s="130"/>
      <c r="G71" s="130"/>
      <c r="H71" s="49"/>
      <c r="I71" s="121"/>
      <c r="J71" s="131"/>
      <c r="K71" s="132"/>
      <c r="L71" s="133"/>
      <c r="M71" s="132"/>
      <c r="N71" s="132"/>
      <c r="O71" s="134"/>
      <c r="P71" s="135"/>
      <c r="Q71" s="135"/>
    </row>
    <row r="72" spans="1:17" ht="15">
      <c r="A72" s="129"/>
      <c r="B72" s="113"/>
      <c r="C72" s="95"/>
      <c r="D72" s="58"/>
      <c r="E72" s="130"/>
      <c r="F72" s="130"/>
      <c r="G72" s="130"/>
      <c r="H72" s="49"/>
      <c r="I72" s="121"/>
      <c r="J72" s="131"/>
      <c r="K72" s="132"/>
      <c r="L72" s="133"/>
      <c r="M72" s="132"/>
      <c r="N72" s="132"/>
      <c r="O72" s="134"/>
      <c r="P72" s="135"/>
      <c r="Q72" s="135"/>
    </row>
    <row r="73" spans="1:17" ht="15">
      <c r="A73" s="129"/>
      <c r="B73" s="113"/>
      <c r="C73" s="95"/>
      <c r="D73" s="58"/>
      <c r="E73" s="130"/>
      <c r="F73" s="130"/>
      <c r="G73" s="130"/>
      <c r="H73" s="49"/>
      <c r="I73" s="121"/>
      <c r="J73" s="131"/>
      <c r="K73" s="132"/>
      <c r="L73" s="133"/>
      <c r="M73" s="132"/>
      <c r="N73" s="132"/>
      <c r="O73" s="134"/>
      <c r="P73" s="135"/>
      <c r="Q73" s="135"/>
    </row>
    <row r="74" spans="1:17" ht="15">
      <c r="A74" s="129"/>
      <c r="B74" s="113"/>
      <c r="C74" s="95"/>
      <c r="D74" s="58"/>
      <c r="E74" s="130"/>
      <c r="F74" s="130"/>
      <c r="G74" s="130"/>
      <c r="H74" s="49"/>
      <c r="I74" s="121"/>
      <c r="J74" s="131"/>
      <c r="K74" s="132"/>
      <c r="L74" s="133"/>
      <c r="M74" s="132"/>
      <c r="N74" s="132"/>
      <c r="O74" s="134"/>
      <c r="P74" s="135"/>
      <c r="Q74" s="135"/>
    </row>
    <row r="75" spans="1:17" ht="15">
      <c r="A75" s="129"/>
      <c r="B75" s="113"/>
      <c r="C75" s="95"/>
      <c r="D75" s="58"/>
      <c r="E75" s="130"/>
      <c r="F75" s="130"/>
      <c r="G75" s="130"/>
      <c r="H75" s="49"/>
      <c r="I75" s="121"/>
      <c r="J75" s="131"/>
      <c r="K75" s="132"/>
      <c r="L75" s="133"/>
      <c r="M75" s="132"/>
      <c r="N75" s="132"/>
      <c r="O75" s="134"/>
      <c r="P75" s="135"/>
      <c r="Q75" s="135"/>
    </row>
    <row r="76" spans="1:17" ht="15">
      <c r="A76" s="129"/>
      <c r="B76" s="113"/>
      <c r="C76" s="95"/>
      <c r="D76" s="58"/>
      <c r="E76" s="130"/>
      <c r="F76" s="130"/>
      <c r="G76" s="130"/>
      <c r="H76" s="49"/>
      <c r="I76" s="121"/>
      <c r="J76" s="131"/>
      <c r="K76" s="132"/>
      <c r="L76" s="133"/>
      <c r="M76" s="132"/>
      <c r="N76" s="132"/>
      <c r="O76" s="134"/>
      <c r="P76" s="135"/>
      <c r="Q76" s="135"/>
    </row>
    <row r="77" spans="1:17" ht="15">
      <c r="A77" s="129"/>
      <c r="B77" s="113"/>
      <c r="C77" s="95"/>
      <c r="D77" s="58"/>
      <c r="E77" s="130"/>
      <c r="F77" s="130"/>
      <c r="G77" s="130"/>
      <c r="H77" s="49"/>
      <c r="I77" s="121"/>
      <c r="J77" s="131"/>
      <c r="K77" s="132"/>
      <c r="L77" s="133"/>
      <c r="M77" s="132"/>
      <c r="N77" s="132"/>
      <c r="O77" s="134"/>
      <c r="P77" s="135"/>
      <c r="Q77" s="135"/>
    </row>
    <row r="78" spans="1:17" ht="15">
      <c r="A78" s="129"/>
      <c r="B78" s="113"/>
      <c r="C78" s="95"/>
      <c r="D78" s="58"/>
      <c r="E78" s="130"/>
      <c r="F78" s="130"/>
      <c r="G78" s="130"/>
      <c r="H78" s="49"/>
      <c r="I78" s="121"/>
      <c r="J78" s="131"/>
      <c r="K78" s="132"/>
      <c r="L78" s="133"/>
      <c r="M78" s="132"/>
      <c r="N78" s="132"/>
      <c r="O78" s="134"/>
      <c r="P78" s="135"/>
      <c r="Q78" s="135"/>
    </row>
    <row r="79" spans="1:17" ht="15">
      <c r="A79" s="129"/>
      <c r="B79" s="113"/>
      <c r="C79" s="95"/>
      <c r="D79" s="58"/>
      <c r="E79" s="130"/>
      <c r="F79" s="130"/>
      <c r="G79" s="130"/>
      <c r="H79" s="49"/>
      <c r="I79" s="121"/>
      <c r="J79" s="131"/>
      <c r="K79" s="132"/>
      <c r="L79" s="133"/>
      <c r="M79" s="132"/>
      <c r="N79" s="132"/>
      <c r="O79" s="134"/>
      <c r="P79" s="135"/>
      <c r="Q79" s="135"/>
    </row>
    <row r="80" spans="1:17" ht="15">
      <c r="A80" s="129"/>
      <c r="B80" s="113"/>
      <c r="C80" s="95"/>
      <c r="D80" s="58"/>
      <c r="E80" s="130"/>
      <c r="F80" s="130"/>
      <c r="G80" s="130"/>
      <c r="H80" s="49"/>
      <c r="I80" s="121"/>
      <c r="J80" s="131"/>
      <c r="K80" s="132"/>
      <c r="L80" s="133"/>
      <c r="M80" s="132"/>
      <c r="N80" s="132"/>
      <c r="O80" s="134"/>
      <c r="P80" s="135"/>
      <c r="Q80" s="135"/>
    </row>
    <row r="81" spans="1:17" ht="15">
      <c r="A81" s="129"/>
      <c r="B81" s="113"/>
      <c r="C81" s="95"/>
      <c r="D81" s="58"/>
      <c r="E81" s="130"/>
      <c r="F81" s="130"/>
      <c r="G81" s="130"/>
      <c r="H81" s="49"/>
      <c r="I81" s="121"/>
      <c r="J81" s="131"/>
      <c r="K81" s="132"/>
      <c r="L81" s="133"/>
      <c r="M81" s="132"/>
      <c r="N81" s="132"/>
      <c r="O81" s="134"/>
      <c r="P81" s="135"/>
      <c r="Q81" s="135"/>
    </row>
  </sheetData>
  <phoneticPr fontId="2" type="noConversion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393E4-07CC-5F41-92B4-6E69408DD955}">
  <sheetPr codeName="Sheet8"/>
  <dimension ref="B1:S20"/>
  <sheetViews>
    <sheetView workbookViewId="0">
      <selection activeCell="E11" sqref="E11"/>
    </sheetView>
  </sheetViews>
  <sheetFormatPr baseColWidth="10" defaultRowHeight="30" customHeight="1"/>
  <cols>
    <col min="1" max="1" width="2.83203125" style="142" customWidth="1"/>
    <col min="2" max="2" width="23.6640625" style="150" customWidth="1"/>
    <col min="3" max="3" width="10.83203125" style="143"/>
    <col min="4" max="8" width="10.83203125" style="142"/>
    <col min="9" max="9" width="2.83203125" style="142" customWidth="1"/>
    <col min="10" max="10" width="10.83203125" style="142"/>
    <col min="11" max="11" width="14.5" style="145" bestFit="1" customWidth="1"/>
    <col min="12" max="12" width="12.5" style="145" bestFit="1" customWidth="1"/>
    <col min="13" max="13" width="10.83203125" style="146"/>
    <col min="14" max="16384" width="10.83203125" style="142"/>
  </cols>
  <sheetData>
    <row r="1" spans="2:19" ht="20" customHeight="1"/>
    <row r="2" spans="2:19" ht="30" customHeight="1">
      <c r="B2" s="153" t="s">
        <v>195</v>
      </c>
      <c r="C2" s="151" t="s">
        <v>194</v>
      </c>
      <c r="D2" s="277" t="s">
        <v>37</v>
      </c>
      <c r="E2" s="277"/>
      <c r="F2" s="277"/>
      <c r="G2" s="277"/>
      <c r="H2" s="277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</row>
    <row r="3" spans="2:19" ht="30" customHeight="1">
      <c r="B3" s="152">
        <v>43299</v>
      </c>
      <c r="C3" s="154" t="s">
        <v>198</v>
      </c>
      <c r="D3" s="278"/>
      <c r="E3" s="278"/>
      <c r="F3" s="278"/>
      <c r="G3" s="278"/>
      <c r="H3" s="278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</row>
    <row r="4" spans="2:19" ht="30" customHeight="1">
      <c r="C4" s="149"/>
      <c r="D4" s="149"/>
      <c r="E4" s="149"/>
      <c r="F4" s="149"/>
      <c r="G4" s="149"/>
      <c r="H4" s="149"/>
      <c r="I4" s="149"/>
      <c r="K4" s="149"/>
      <c r="L4" s="149"/>
      <c r="M4" s="149"/>
      <c r="N4" s="149"/>
      <c r="O4" s="149"/>
      <c r="P4" s="149"/>
      <c r="Q4" s="149"/>
      <c r="R4" s="149"/>
      <c r="S4" s="149"/>
    </row>
    <row r="5" spans="2:19" ht="30" customHeight="1">
      <c r="C5" s="149"/>
      <c r="D5" s="149"/>
      <c r="E5" s="149"/>
      <c r="F5" s="149"/>
      <c r="G5" s="149"/>
      <c r="H5" s="149"/>
      <c r="I5" s="149"/>
      <c r="K5" s="149"/>
      <c r="L5" s="149"/>
      <c r="M5" s="149"/>
      <c r="N5" s="149"/>
      <c r="O5" s="149"/>
      <c r="P5" s="149"/>
      <c r="Q5" s="149"/>
      <c r="R5" s="149"/>
      <c r="S5" s="149"/>
    </row>
    <row r="6" spans="2:19" ht="30" customHeight="1">
      <c r="C6" s="149"/>
      <c r="D6" s="149"/>
      <c r="E6" s="149"/>
      <c r="F6" s="149"/>
      <c r="G6" s="149"/>
      <c r="H6" s="149"/>
      <c r="I6" s="149"/>
    </row>
    <row r="7" spans="2:19" ht="30" customHeight="1">
      <c r="C7" s="149"/>
      <c r="D7" s="149"/>
      <c r="E7" s="149"/>
      <c r="F7" s="149"/>
      <c r="G7" s="149"/>
      <c r="H7" s="149"/>
      <c r="I7" s="149"/>
    </row>
    <row r="8" spans="2:19" ht="30" customHeight="1">
      <c r="C8" s="149"/>
      <c r="D8" s="149"/>
      <c r="E8" s="149"/>
      <c r="F8" s="149"/>
      <c r="G8" s="149"/>
      <c r="H8" s="149"/>
      <c r="I8" s="149"/>
    </row>
    <row r="9" spans="2:19" ht="30" customHeight="1">
      <c r="C9" s="149"/>
      <c r="D9" s="149"/>
      <c r="E9" s="149"/>
      <c r="F9" s="149"/>
      <c r="G9" s="149"/>
      <c r="H9" s="149"/>
      <c r="I9" s="149"/>
    </row>
    <row r="10" spans="2:19" ht="30" customHeight="1">
      <c r="C10" s="149"/>
      <c r="D10" s="149"/>
      <c r="E10" s="149"/>
      <c r="F10" s="149"/>
      <c r="G10" s="149"/>
      <c r="H10" s="149"/>
      <c r="I10" s="149"/>
    </row>
    <row r="11" spans="2:19" ht="30" customHeight="1">
      <c r="C11" s="144"/>
      <c r="D11" s="144"/>
      <c r="E11" s="144"/>
      <c r="F11" s="144"/>
      <c r="G11" s="144"/>
      <c r="H11" s="144"/>
      <c r="I11" s="144"/>
    </row>
    <row r="12" spans="2:19" ht="30" customHeight="1">
      <c r="C12" s="144"/>
      <c r="D12" s="144"/>
      <c r="E12" s="144"/>
      <c r="F12" s="144"/>
      <c r="G12" s="144"/>
      <c r="H12" s="144"/>
      <c r="I12" s="144"/>
    </row>
    <row r="13" spans="2:19" ht="30" customHeight="1">
      <c r="C13" s="144"/>
      <c r="D13" s="144"/>
      <c r="E13" s="144"/>
      <c r="F13" s="144"/>
      <c r="G13" s="144"/>
      <c r="H13" s="144"/>
      <c r="I13" s="144"/>
    </row>
    <row r="14" spans="2:19" ht="30" customHeight="1">
      <c r="C14" s="144"/>
      <c r="D14" s="144"/>
      <c r="E14" s="144"/>
      <c r="F14" s="144"/>
      <c r="G14" s="144"/>
      <c r="H14" s="144"/>
      <c r="I14" s="144"/>
    </row>
    <row r="15" spans="2:19" ht="30" customHeight="1">
      <c r="C15" s="144"/>
      <c r="D15" s="144"/>
      <c r="E15" s="144"/>
      <c r="F15" s="144"/>
      <c r="G15" s="144"/>
      <c r="H15" s="144"/>
      <c r="I15" s="144"/>
    </row>
    <row r="16" spans="2:19" ht="30" customHeight="1">
      <c r="C16" s="144"/>
      <c r="D16" s="144"/>
      <c r="E16" s="144"/>
      <c r="F16" s="144"/>
      <c r="G16" s="144"/>
      <c r="H16" s="144"/>
      <c r="I16" s="144"/>
    </row>
    <row r="17" spans="3:9" ht="30" customHeight="1">
      <c r="C17" s="144"/>
      <c r="D17" s="144"/>
      <c r="E17" s="144"/>
      <c r="F17" s="144"/>
      <c r="G17" s="144"/>
      <c r="H17" s="144"/>
      <c r="I17" s="144"/>
    </row>
    <row r="18" spans="3:9" ht="30" customHeight="1">
      <c r="C18" s="144"/>
      <c r="D18" s="144"/>
      <c r="E18" s="144"/>
      <c r="F18" s="144"/>
      <c r="G18" s="144"/>
      <c r="H18" s="144"/>
      <c r="I18" s="144"/>
    </row>
    <row r="19" spans="3:9" ht="30" customHeight="1">
      <c r="C19" s="144"/>
      <c r="D19" s="144"/>
      <c r="E19" s="144"/>
      <c r="F19" s="144"/>
      <c r="G19" s="144"/>
      <c r="H19" s="144"/>
      <c r="I19" s="144"/>
    </row>
    <row r="20" spans="3:9" ht="30" customHeight="1">
      <c r="C20" s="144"/>
      <c r="D20" s="144"/>
      <c r="E20" s="144"/>
      <c r="F20" s="144"/>
      <c r="G20" s="144"/>
      <c r="H20" s="144"/>
      <c r="I20" s="144"/>
    </row>
  </sheetData>
  <mergeCells count="2">
    <mergeCell ref="D2:H2"/>
    <mergeCell ref="D3:H3"/>
  </mergeCells>
  <phoneticPr fontId="2" type="noConversion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1</vt:i4>
      </vt:variant>
    </vt:vector>
  </HeadingPairs>
  <TitlesOfParts>
    <vt:vector size="11" baseType="lpstr">
      <vt:lpstr>거래명세서</vt:lpstr>
      <vt:lpstr>회사별</vt:lpstr>
      <vt:lpstr>제품별</vt:lpstr>
      <vt:lpstr>분기별</vt:lpstr>
      <vt:lpstr>월별</vt:lpstr>
      <vt:lpstr>규격</vt:lpstr>
      <vt:lpstr>거래처</vt:lpstr>
      <vt:lpstr>데이터</vt:lpstr>
      <vt:lpstr>상세데이터</vt:lpstr>
      <vt:lpstr>버전</vt:lpstr>
      <vt:lpstr>거래명세서!Print_Area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Park Jun Hyun</cp:lastModifiedBy>
  <cp:lastPrinted>2018-07-16T22:02:53Z</cp:lastPrinted>
  <dcterms:created xsi:type="dcterms:W3CDTF">2018-05-30T06:24:35Z</dcterms:created>
  <dcterms:modified xsi:type="dcterms:W3CDTF">2018-12-24T02:59:38Z</dcterms:modified>
</cp:coreProperties>
</file>